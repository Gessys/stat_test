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hiros-h\Documents\サンプル\"/>
    </mc:Choice>
  </mc:AlternateContent>
  <xr:revisionPtr revIDLastSave="0" documentId="13_ncr:1_{3FF68950-F51E-4DEB-99E8-987807649C02}" xr6:coauthVersionLast="47" xr6:coauthVersionMax="47" xr10:uidLastSave="{00000000-0000-0000-0000-000000000000}"/>
  <bookViews>
    <workbookView xWindow="4808" yWindow="2415" windowWidth="28799" windowHeight="15045" xr2:uid="{43A727E7-E0DD-4276-BE22-A0C497C034AF}"/>
  </bookViews>
  <sheets>
    <sheet name="U検定" sheetId="8" r:id="rId1"/>
    <sheet name="U検定 (作成例)" sheetId="12" r:id="rId2"/>
    <sheet name="U検定 (同順位)" sheetId="11" r:id="rId3"/>
  </sheets>
  <definedNames>
    <definedName name="RMSE">_xlfn.LAMBDA(_xlpm.a,_xlpm.b,_xlpm.x,_xlpm.y,SQRT(SUM(((_xlpm.a*_xlpm.x+_xlpm.b)-_xlpm.y)^2)/COUNT(_xlpm.y)))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5" i="12" l="1"/>
  <c r="B25" i="12"/>
  <c r="C24" i="12"/>
  <c r="B24" i="12"/>
  <c r="K5" i="12"/>
  <c r="K4" i="12"/>
  <c r="J8" i="12" s="1"/>
  <c r="E4" i="12" a="1"/>
  <c r="E4" i="12" s="1"/>
  <c r="G4" i="12" s="1" a="1"/>
  <c r="C25" i="11"/>
  <c r="B25" i="11"/>
  <c r="C24" i="11"/>
  <c r="B24" i="11"/>
  <c r="K5" i="11"/>
  <c r="K4" i="11"/>
  <c r="E4" i="11" a="1"/>
  <c r="E4" i="11" s="1"/>
  <c r="G4" i="11" s="1" a="1"/>
  <c r="C25" i="8"/>
  <c r="B25" i="8"/>
  <c r="B24" i="8"/>
  <c r="J5" i="12" l="1"/>
  <c r="L5" i="12" s="1"/>
  <c r="G4" i="12"/>
  <c r="J4" i="12"/>
  <c r="L4" i="12" s="1"/>
  <c r="J7" i="12" s="1"/>
  <c r="J9" i="12" s="1"/>
  <c r="J10" i="12" s="1"/>
  <c r="J8" i="11"/>
  <c r="J5" i="11"/>
  <c r="L5" i="11" s="1"/>
  <c r="G4" i="11"/>
  <c r="R4" i="11" s="1" a="1"/>
  <c r="O21" i="11"/>
  <c r="O23" i="11" s="1"/>
  <c r="C24" i="8"/>
  <c r="J4" i="11" l="1"/>
  <c r="L4" i="11" s="1"/>
  <c r="J7" i="11" s="1"/>
  <c r="J9" i="11" s="1"/>
  <c r="J10" i="11" s="1"/>
  <c r="R4" i="11"/>
  <c r="S4" i="11" s="1" a="1"/>
  <c r="S4" i="11" s="1"/>
  <c r="O22" i="11"/>
  <c r="T4" i="11" l="1" a="1"/>
  <c r="T4" i="11" s="1"/>
  <c r="O7" i="11"/>
  <c r="U4" i="11" l="1" a="1"/>
  <c r="U4" i="11" l="1"/>
  <c r="O24" i="11" a="1"/>
  <c r="O24" i="11" s="1"/>
  <c r="O25" i="11" s="1"/>
  <c r="O8" i="11" s="1"/>
  <c r="O9" i="11" s="1"/>
  <c r="O10" i="1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<sst xmlns="http://schemas.openxmlformats.org/spreadsheetml/2006/main" count="213" uniqueCount="45">
  <si>
    <t>P</t>
    <phoneticPr fontId="1"/>
  </si>
  <si>
    <t>平均</t>
    <rPh sb="0" eb="2">
      <t>ヘイキン</t>
    </rPh>
    <phoneticPr fontId="1"/>
  </si>
  <si>
    <t>A</t>
    <phoneticPr fontId="1"/>
  </si>
  <si>
    <t>B</t>
    <phoneticPr fontId="1"/>
  </si>
  <si>
    <t>マン・ホイットニー検定</t>
    <rPh sb="9" eb="11">
      <t>ケンテイ</t>
    </rPh>
    <phoneticPr fontId="1"/>
  </si>
  <si>
    <t>中央値</t>
    <rPh sb="0" eb="3">
      <t>チュウオウチ</t>
    </rPh>
    <phoneticPr fontId="1"/>
  </si>
  <si>
    <t>サンプル</t>
    <phoneticPr fontId="1"/>
  </si>
  <si>
    <t>順位</t>
    <rPh sb="0" eb="2">
      <t>ジュンイ</t>
    </rPh>
    <phoneticPr fontId="1"/>
  </si>
  <si>
    <t>順位和</t>
    <rPh sb="0" eb="2">
      <t>ジュンイ</t>
    </rPh>
    <rPh sb="2" eb="3">
      <t>ワ</t>
    </rPh>
    <phoneticPr fontId="1"/>
  </si>
  <si>
    <t>U</t>
    <phoneticPr fontId="1"/>
  </si>
  <si>
    <t>z</t>
    <phoneticPr fontId="1"/>
  </si>
  <si>
    <t>初任給一覧</t>
    <rPh sb="0" eb="3">
      <t>ショニンキュウ</t>
    </rPh>
    <rPh sb="3" eb="5">
      <t>イチラン</t>
    </rPh>
    <phoneticPr fontId="1"/>
  </si>
  <si>
    <t>業界A</t>
    <rPh sb="0" eb="2">
      <t>ギョウカイ</t>
    </rPh>
    <phoneticPr fontId="1"/>
  </si>
  <si>
    <t>業界B</t>
    <rPh sb="0" eb="2">
      <t>ギョウカイ</t>
    </rPh>
    <phoneticPr fontId="1"/>
  </si>
  <si>
    <t>群</t>
    <rPh sb="0" eb="1">
      <t>グン</t>
    </rPh>
    <phoneticPr fontId="1"/>
  </si>
  <si>
    <t>データ</t>
    <phoneticPr fontId="1"/>
  </si>
  <si>
    <t>分子</t>
    <rPh sb="0" eb="2">
      <t>ブンシ</t>
    </rPh>
    <phoneticPr fontId="1"/>
  </si>
  <si>
    <t>分母</t>
    <rPh sb="0" eb="2">
      <t>ブンボ</t>
    </rPh>
    <phoneticPr fontId="1"/>
  </si>
  <si>
    <t>n</t>
    <phoneticPr fontId="1"/>
  </si>
  <si>
    <t>V</t>
    <phoneticPr fontId="1"/>
  </si>
  <si>
    <t>N</t>
    <phoneticPr fontId="1"/>
  </si>
  <si>
    <t>←(N^3-N)/12</t>
    <phoneticPr fontId="1"/>
  </si>
  <si>
    <t>←Σ(ti^3-ti)/12</t>
    <phoneticPr fontId="1"/>
  </si>
  <si>
    <t>n1*n2/(N(N-1))</t>
    <phoneticPr fontId="1"/>
  </si>
  <si>
    <t>←補正なし</t>
    <rPh sb="1" eb="3">
      <t>ホセイ</t>
    </rPh>
    <phoneticPr fontId="1"/>
  </si>
  <si>
    <t>分母(補正)</t>
    <rPh sb="0" eb="2">
      <t>ブンボ</t>
    </rPh>
    <rPh sb="3" eb="5">
      <t>ホセイ</t>
    </rPh>
    <phoneticPr fontId="1"/>
  </si>
  <si>
    <t>順位の種類</t>
    <rPh sb="0" eb="2">
      <t>ジュンイ</t>
    </rPh>
    <rPh sb="3" eb="5">
      <t>シュルイ</t>
    </rPh>
    <phoneticPr fontId="1"/>
  </si>
  <si>
    <t>同順位確認のための作業用（見やすくするためソートしてある）</t>
    <rPh sb="0" eb="3">
      <t>ドウジュンイ</t>
    </rPh>
    <rPh sb="3" eb="5">
      <t>カクニン</t>
    </rPh>
    <rPh sb="9" eb="12">
      <t>サギョウヨウ</t>
    </rPh>
    <rPh sb="13" eb="14">
      <t>ミ</t>
    </rPh>
    <phoneticPr fontId="1"/>
  </si>
  <si>
    <t>個数</t>
    <rPh sb="0" eb="2">
      <t>コスウ</t>
    </rPh>
    <phoneticPr fontId="1"/>
  </si>
  <si>
    <t>同順位</t>
    <rPh sb="0" eb="3">
      <t>ドウジュンイ</t>
    </rPh>
    <phoneticPr fontId="1"/>
  </si>
  <si>
    <t>T列</t>
    <rPh sb="1" eb="2">
      <t>レツ</t>
    </rPh>
    <phoneticPr fontId="1"/>
  </si>
  <si>
    <t>G列をソート（G列をそのまま使ってもいいが見やすくするため）</t>
    <rPh sb="1" eb="2">
      <t>レツ</t>
    </rPh>
    <rPh sb="8" eb="9">
      <t>レツ</t>
    </rPh>
    <rPh sb="14" eb="15">
      <t>ツカ</t>
    </rPh>
    <rPh sb="21" eb="22">
      <t>ミ</t>
    </rPh>
    <phoneticPr fontId="1"/>
  </si>
  <si>
    <t>U列</t>
    <rPh sb="1" eb="2">
      <t>レツ</t>
    </rPh>
    <phoneticPr fontId="1"/>
  </si>
  <si>
    <t>UNIQUE関数で重複を排除</t>
    <rPh sb="6" eb="8">
      <t>カンスウ</t>
    </rPh>
    <rPh sb="9" eb="11">
      <t>チョウフク</t>
    </rPh>
    <rPh sb="12" eb="14">
      <t>ハイジョ</t>
    </rPh>
    <phoneticPr fontId="1"/>
  </si>
  <si>
    <t>◆手順</t>
    <rPh sb="1" eb="3">
      <t>テジュン</t>
    </rPh>
    <phoneticPr fontId="1"/>
  </si>
  <si>
    <t>・同順位の個数を求める（右のT列以降の手順）</t>
    <rPh sb="1" eb="4">
      <t>ドウジュンイ</t>
    </rPh>
    <rPh sb="5" eb="7">
      <t>コスウ</t>
    </rPh>
    <rPh sb="8" eb="9">
      <t>モト</t>
    </rPh>
    <rPh sb="12" eb="13">
      <t>ミギ</t>
    </rPh>
    <rPh sb="15" eb="16">
      <t>レツ</t>
    </rPh>
    <rPh sb="16" eb="18">
      <t>イコウ</t>
    </rPh>
    <rPh sb="19" eb="21">
      <t>テジュン</t>
    </rPh>
    <phoneticPr fontId="1"/>
  </si>
  <si>
    <t>S列</t>
    <rPh sb="1" eb="2">
      <t>レツ</t>
    </rPh>
    <phoneticPr fontId="1"/>
  </si>
  <si>
    <t>←SQRT(V)……以下の手順でVを求める</t>
    <rPh sb="10" eb="12">
      <t>イカ</t>
    </rPh>
    <rPh sb="13" eb="15">
      <t>テジュン</t>
    </rPh>
    <rPh sb="18" eb="19">
      <t>モト</t>
    </rPh>
    <phoneticPr fontId="1"/>
  </si>
  <si>
    <t>←サンプル全体のサイズ</t>
    <rPh sb="5" eb="7">
      <t>ゼンタイ</t>
    </rPh>
    <phoneticPr fontId="1"/>
  </si>
  <si>
    <t>R列</t>
    <rPh sb="1" eb="2">
      <t>レツ</t>
    </rPh>
    <phoneticPr fontId="1"/>
  </si>
  <si>
    <t>S列の値がR列にいくつあるかを求める</t>
    <rPh sb="1" eb="2">
      <t>レツ</t>
    </rPh>
    <rPh sb="3" eb="4">
      <t>アタイ</t>
    </rPh>
    <rPh sb="6" eb="7">
      <t>レツ</t>
    </rPh>
    <rPh sb="15" eb="16">
      <t>モト</t>
    </rPh>
    <phoneticPr fontId="1"/>
  </si>
  <si>
    <t>FILTER関数により、T列のうち、1より大きいものを取り出す</t>
    <rPh sb="6" eb="8">
      <t>カンスウ</t>
    </rPh>
    <rPh sb="13" eb="14">
      <t>レツ</t>
    </rPh>
    <rPh sb="21" eb="22">
      <t>オオ</t>
    </rPh>
    <rPh sb="27" eb="28">
      <t>ト</t>
    </rPh>
    <rPh sb="29" eb="30">
      <t>ダ</t>
    </rPh>
    <phoneticPr fontId="1"/>
  </si>
  <si>
    <t>※条件付き書式により重複する値を強調</t>
    <rPh sb="1" eb="4">
      <t>ジョウケンツ</t>
    </rPh>
    <rPh sb="5" eb="7">
      <t>ショシキ</t>
    </rPh>
    <rPh sb="10" eb="12">
      <t>チョウフク</t>
    </rPh>
    <rPh sb="14" eb="15">
      <t>アタイ</t>
    </rPh>
    <rPh sb="16" eb="18">
      <t>キョウチョウ</t>
    </rPh>
    <phoneticPr fontId="1"/>
  </si>
  <si>
    <t>・同順位がある場合の分母の補正（上の式の各項を計算）</t>
    <rPh sb="1" eb="4">
      <t>ドウジュンイ</t>
    </rPh>
    <rPh sb="7" eb="9">
      <t>バアイ</t>
    </rPh>
    <rPh sb="10" eb="12">
      <t>ブンボ</t>
    </rPh>
    <rPh sb="13" eb="15">
      <t>ホセイ</t>
    </rPh>
    <rPh sb="16" eb="17">
      <t>ウエ</t>
    </rPh>
    <rPh sb="18" eb="19">
      <t>シキ</t>
    </rPh>
    <rPh sb="20" eb="21">
      <t>カク</t>
    </rPh>
    <rPh sb="21" eb="22">
      <t>コウ</t>
    </rPh>
    <rPh sb="23" eb="25">
      <t>ケイサン</t>
    </rPh>
    <phoneticPr fontId="1"/>
  </si>
  <si>
    <t>分母の補正を行う（以下の式と「◆手順」を参照）</t>
    <rPh sb="0" eb="2">
      <t>ブンボ</t>
    </rPh>
    <rPh sb="3" eb="5">
      <t>ホセイ</t>
    </rPh>
    <rPh sb="6" eb="7">
      <t>オコナ</t>
    </rPh>
    <rPh sb="9" eb="11">
      <t>イカ</t>
    </rPh>
    <rPh sb="12" eb="13">
      <t>シキ</t>
    </rPh>
    <rPh sb="16" eb="18">
      <t>テジュン</t>
    </rPh>
    <rPh sb="20" eb="22">
      <t>サンショウ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</si>
</sst>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"/>
  </numFmts>
  <fonts count="6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11"/>
      <color theme="0"/>
      <name val="游ゴシック"/>
      <family val="3"/>
      <charset val="128"/>
      <scheme val="minor"/>
    </font>
    <font>
      <sz val="11"/>
      <color theme="0"/>
      <name val="游ゴシック"/>
      <family val="3"/>
      <charset val="128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8" tint="0.39997558519241921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>
      <alignment vertical="center"/>
    </xf>
    <xf numFmtId="38" fontId="2" fillId="0" borderId="0" applyFont="0" applyFill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0" fillId="0" borderId="2" xfId="0" applyBorder="1">
      <alignment vertical="center"/>
    </xf>
    <xf numFmtId="38" fontId="0" fillId="0" borderId="0" xfId="1" applyFont="1">
      <alignment vertical="center"/>
    </xf>
    <xf numFmtId="38" fontId="0" fillId="0" borderId="2" xfId="1" applyFont="1" applyBorder="1">
      <alignment vertical="center"/>
    </xf>
    <xf numFmtId="176" fontId="0" fillId="0" borderId="0" xfId="0" applyNumberFormat="1">
      <alignment vertical="center"/>
    </xf>
    <xf numFmtId="0" fontId="3" fillId="2" borderId="1" xfId="0" applyFont="1" applyFill="1" applyBorder="1" applyAlignment="1">
      <alignment horizontal="centerContinuous" vertical="center"/>
    </xf>
    <xf numFmtId="0" fontId="3" fillId="3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Continuous" vertical="center"/>
    </xf>
    <xf numFmtId="176" fontId="0" fillId="0" borderId="2" xfId="0" applyNumberFormat="1" applyBorder="1">
      <alignment vertical="center"/>
    </xf>
    <xf numFmtId="0" fontId="0" fillId="2" borderId="2" xfId="0" applyFill="1" applyBorder="1" applyAlignment="1">
      <alignment horizontal="centerContinuous" vertical="center"/>
    </xf>
    <xf numFmtId="0" fontId="3" fillId="4" borderId="0" xfId="0" applyFont="1" applyFill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38" fontId="0" fillId="0" borderId="0" xfId="0" applyNumberFormat="1">
      <alignment vertical="center"/>
    </xf>
    <xf numFmtId="38" fontId="0" fillId="0" borderId="0" xfId="1" applyFont="1" applyBorder="1">
      <alignment vertical="center"/>
    </xf>
    <xf numFmtId="0" fontId="3" fillId="5" borderId="2" xfId="0" applyFont="1" applyFill="1" applyBorder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38" fontId="0" fillId="0" borderId="0" xfId="0" applyNumberFormat="1" applyAlignment="1">
      <alignment horizontal="center" vertical="center"/>
    </xf>
    <xf numFmtId="38" fontId="0" fillId="0" borderId="2" xfId="0" applyNumberForma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Continuous" vertical="center"/>
    </xf>
    <xf numFmtId="0" fontId="5" fillId="6" borderId="1" xfId="0" applyFont="1" applyFill="1" applyBorder="1" applyAlignment="1">
      <alignment horizontal="centerContinuous" vertical="center"/>
    </xf>
    <xf numFmtId="0" fontId="5" fillId="6" borderId="2" xfId="0" applyFont="1" applyFill="1" applyBorder="1" applyAlignment="1">
      <alignment horizontal="centerContinuous" vertical="center"/>
    </xf>
    <xf numFmtId="0" fontId="3" fillId="4" borderId="3" xfId="0" applyFont="1" applyFill="1" applyBorder="1" applyAlignment="1">
      <alignment horizontal="center" vertical="center"/>
    </xf>
    <xf numFmtId="0" fontId="0" fillId="0" borderId="3" xfId="0" applyBorder="1">
      <alignment vertical="center"/>
    </xf>
    <xf numFmtId="0" fontId="4" fillId="7" borderId="0" xfId="0" applyFont="1" applyFill="1" applyAlignment="1">
      <alignment horizontal="centerContinuous" vertical="center"/>
    </xf>
    <xf numFmtId="0" fontId="3" fillId="0" borderId="0" xfId="0" applyFont="1">
      <alignment vertical="center"/>
    </xf>
    <xf numFmtId="0" fontId="3" fillId="3" borderId="2" xfId="0" applyFont="1" applyFill="1" applyBorder="1" applyAlignment="1">
      <alignment horizontal="centerContinuous" vertical="center"/>
    </xf>
    <xf numFmtId="0" fontId="3" fillId="3" borderId="0" xfId="0" applyFont="1" applyFill="1" applyAlignment="1">
      <alignment horizontal="center" vertical="center"/>
    </xf>
    <xf numFmtId="0" fontId="3" fillId="3" borderId="2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centerContinuous" vertical="center"/>
    </xf>
    <xf numFmtId="0" fontId="0" fillId="3" borderId="1" xfId="0" applyFill="1" applyBorder="1" applyAlignment="1">
      <alignment horizontal="centerContinuous" vertical="center"/>
    </xf>
    <xf numFmtId="0" fontId="3" fillId="3" borderId="1" xfId="0" applyFont="1" applyFill="1" applyBorder="1">
      <alignment vertical="center"/>
    </xf>
    <xf numFmtId="0" fontId="0" fillId="3" borderId="1" xfId="0" applyFill="1" applyBorder="1">
      <alignment vertical="center"/>
    </xf>
    <xf numFmtId="0" fontId="3" fillId="3" borderId="2" xfId="0" applyFont="1" applyFill="1" applyBorder="1" applyAlignment="1">
      <alignment horizontal="center" vertical="center"/>
    </xf>
    <xf numFmtId="0" fontId="3" fillId="0" borderId="2" xfId="0" applyFont="1" applyBorder="1">
      <alignment vertical="center"/>
    </xf>
  </cellXfs>
  <cellStyles count="2">
    <cellStyle name="桁区切り" xfId="1" builtinId="6"/>
    <cellStyle name="標準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76202</xdr:colOff>
      <xdr:row>1</xdr:row>
      <xdr:rowOff>128589</xdr:rowOff>
    </xdr:from>
    <xdr:to>
      <xdr:col>15</xdr:col>
      <xdr:colOff>2986090</xdr:colOff>
      <xdr:row>5</xdr:row>
      <xdr:rowOff>34135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FCE10EE6-71FB-CACD-C390-47E22F763D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677402" y="352427"/>
          <a:ext cx="3595688" cy="80089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648CE5-92CE-40F0-A895-A94526E730BA}">
  <dimension ref="A1:L43"/>
  <sheetViews>
    <sheetView tabSelected="1" workbookViewId="0">
      <selection activeCell="E4" sqref="E4"/>
    </sheetView>
  </sheetViews>
  <sheetFormatPr defaultRowHeight="17.649999999999999" x14ac:dyDescent="0.7"/>
  <cols>
    <col min="1" max="3" width="9" customWidth="1"/>
  </cols>
  <sheetData>
    <row r="1" spans="1:12" x14ac:dyDescent="0.7">
      <c r="A1" s="5" t="s">
        <v>11</v>
      </c>
      <c r="B1" s="8"/>
      <c r="C1" s="10"/>
      <c r="E1" s="27" t="s">
        <v>7</v>
      </c>
      <c r="F1" s="27"/>
      <c r="G1" s="27"/>
      <c r="I1" s="22" t="s">
        <v>4</v>
      </c>
      <c r="J1" s="23"/>
      <c r="K1" s="24"/>
      <c r="L1" s="24"/>
    </row>
    <row r="3" spans="1:12" x14ac:dyDescent="0.7">
      <c r="A3" s="7" t="s">
        <v>6</v>
      </c>
      <c r="B3" s="7" t="s">
        <v>12</v>
      </c>
      <c r="C3" s="7" t="s">
        <v>13</v>
      </c>
      <c r="E3" s="6" t="s">
        <v>15</v>
      </c>
      <c r="F3" s="6" t="s">
        <v>14</v>
      </c>
      <c r="G3" s="6" t="s">
        <v>7</v>
      </c>
      <c r="I3" s="21" t="s">
        <v>14</v>
      </c>
      <c r="J3" s="21" t="s">
        <v>8</v>
      </c>
      <c r="K3" s="21" t="s">
        <v>18</v>
      </c>
      <c r="L3" s="21" t="s">
        <v>9</v>
      </c>
    </row>
    <row r="4" spans="1:12" x14ac:dyDescent="0.7">
      <c r="A4">
        <v>1</v>
      </c>
      <c r="B4" s="2">
        <v>224000</v>
      </c>
      <c r="C4" s="2">
        <v>229000</v>
      </c>
      <c r="D4" s="13"/>
      <c r="E4" s="2"/>
      <c r="F4" s="17" t="s">
        <v>2</v>
      </c>
      <c r="I4" s="19" t="s">
        <v>2</v>
      </c>
    </row>
    <row r="5" spans="1:12" x14ac:dyDescent="0.7">
      <c r="A5">
        <v>2</v>
      </c>
      <c r="B5" s="2">
        <v>359000</v>
      </c>
      <c r="C5" s="2">
        <v>349000</v>
      </c>
      <c r="D5" s="13"/>
      <c r="E5" s="2"/>
      <c r="F5" s="17" t="s">
        <v>2</v>
      </c>
      <c r="I5" s="20" t="s">
        <v>3</v>
      </c>
      <c r="J5" s="1"/>
      <c r="K5" s="1"/>
      <c r="L5" s="1"/>
    </row>
    <row r="6" spans="1:12" x14ac:dyDescent="0.7">
      <c r="A6">
        <v>3</v>
      </c>
      <c r="B6" s="2">
        <v>150000</v>
      </c>
      <c r="C6" s="2">
        <v>180000</v>
      </c>
      <c r="D6" s="13"/>
      <c r="E6" s="2"/>
      <c r="F6" s="17" t="s">
        <v>2</v>
      </c>
    </row>
    <row r="7" spans="1:12" x14ac:dyDescent="0.7">
      <c r="A7">
        <v>4</v>
      </c>
      <c r="B7" s="2">
        <v>199000</v>
      </c>
      <c r="C7" s="2">
        <v>363000</v>
      </c>
      <c r="D7" s="13"/>
      <c r="E7" s="2"/>
      <c r="F7" s="17" t="s">
        <v>2</v>
      </c>
      <c r="I7" s="25" t="s">
        <v>16</v>
      </c>
      <c r="J7" s="26"/>
    </row>
    <row r="8" spans="1:12" x14ac:dyDescent="0.7">
      <c r="A8">
        <v>5</v>
      </c>
      <c r="B8" s="2">
        <v>307000</v>
      </c>
      <c r="C8" s="2">
        <v>249000</v>
      </c>
      <c r="D8" s="13"/>
      <c r="E8" s="2"/>
      <c r="F8" s="17" t="s">
        <v>2</v>
      </c>
      <c r="I8" s="11" t="s">
        <v>17</v>
      </c>
      <c r="J8" s="4"/>
    </row>
    <row r="9" spans="1:12" x14ac:dyDescent="0.7">
      <c r="A9">
        <v>6</v>
      </c>
      <c r="B9" s="2">
        <v>366000</v>
      </c>
      <c r="C9" s="2">
        <v>396000</v>
      </c>
      <c r="D9" s="13"/>
      <c r="E9" s="2"/>
      <c r="F9" s="17" t="s">
        <v>2</v>
      </c>
      <c r="I9" s="11" t="s">
        <v>10</v>
      </c>
      <c r="J9" s="4"/>
    </row>
    <row r="10" spans="1:12" x14ac:dyDescent="0.7">
      <c r="A10">
        <v>7</v>
      </c>
      <c r="B10" s="2">
        <v>189000</v>
      </c>
      <c r="C10" s="2">
        <v>321000</v>
      </c>
      <c r="D10" s="13"/>
      <c r="E10" s="2"/>
      <c r="F10" s="17" t="s">
        <v>2</v>
      </c>
      <c r="I10" s="12" t="s">
        <v>0</v>
      </c>
      <c r="J10" s="9"/>
    </row>
    <row r="11" spans="1:12" x14ac:dyDescent="0.7">
      <c r="A11">
        <v>8</v>
      </c>
      <c r="B11" s="2">
        <v>244000</v>
      </c>
      <c r="C11" s="2">
        <v>376000</v>
      </c>
      <c r="D11" s="13"/>
      <c r="E11" s="2"/>
      <c r="F11" s="17" t="s">
        <v>2</v>
      </c>
    </row>
    <row r="12" spans="1:12" x14ac:dyDescent="0.7">
      <c r="A12">
        <v>9</v>
      </c>
      <c r="B12" s="2">
        <v>348000</v>
      </c>
      <c r="C12" s="14">
        <v>487000</v>
      </c>
      <c r="D12" s="13"/>
      <c r="E12" s="2"/>
      <c r="F12" s="17" t="s">
        <v>2</v>
      </c>
    </row>
    <row r="13" spans="1:12" x14ac:dyDescent="0.7">
      <c r="A13">
        <v>10</v>
      </c>
      <c r="B13" s="14">
        <v>158000</v>
      </c>
      <c r="C13" s="2">
        <v>241000</v>
      </c>
      <c r="D13" s="13"/>
      <c r="E13" s="2"/>
      <c r="F13" s="17" t="s">
        <v>2</v>
      </c>
    </row>
    <row r="14" spans="1:12" x14ac:dyDescent="0.7">
      <c r="A14">
        <v>11</v>
      </c>
      <c r="B14" s="2">
        <v>240000</v>
      </c>
      <c r="C14" s="2">
        <v>232000</v>
      </c>
      <c r="D14" s="13"/>
      <c r="E14" s="2"/>
      <c r="F14" s="17" t="s">
        <v>2</v>
      </c>
    </row>
    <row r="15" spans="1:12" x14ac:dyDescent="0.7">
      <c r="A15">
        <v>12</v>
      </c>
      <c r="B15" s="2">
        <v>157000</v>
      </c>
      <c r="C15" s="2">
        <v>299000</v>
      </c>
      <c r="D15" s="13"/>
      <c r="E15" s="2"/>
      <c r="F15" s="17" t="s">
        <v>2</v>
      </c>
    </row>
    <row r="16" spans="1:12" x14ac:dyDescent="0.7">
      <c r="A16">
        <v>13</v>
      </c>
      <c r="B16" s="2">
        <v>284000</v>
      </c>
      <c r="C16" s="2">
        <v>389000</v>
      </c>
      <c r="D16" s="13"/>
      <c r="E16" s="2"/>
      <c r="F16" s="17" t="s">
        <v>2</v>
      </c>
    </row>
    <row r="17" spans="1:6" x14ac:dyDescent="0.7">
      <c r="A17">
        <v>14</v>
      </c>
      <c r="B17" s="2">
        <v>303000</v>
      </c>
      <c r="C17" s="2">
        <v>215000</v>
      </c>
      <c r="D17" s="13"/>
      <c r="E17" s="2"/>
      <c r="F17" s="17" t="s">
        <v>2</v>
      </c>
    </row>
    <row r="18" spans="1:6" x14ac:dyDescent="0.7">
      <c r="A18">
        <v>15</v>
      </c>
      <c r="B18" s="2">
        <v>306000</v>
      </c>
      <c r="C18" s="2">
        <v>320000</v>
      </c>
      <c r="D18" s="13"/>
      <c r="E18" s="2"/>
      <c r="F18" s="17" t="s">
        <v>2</v>
      </c>
    </row>
    <row r="19" spans="1:6" x14ac:dyDescent="0.7">
      <c r="A19">
        <v>16</v>
      </c>
      <c r="B19" s="2">
        <v>429000</v>
      </c>
      <c r="C19" s="2">
        <v>600000</v>
      </c>
      <c r="D19" s="13"/>
      <c r="E19" s="2"/>
      <c r="F19" s="17" t="s">
        <v>2</v>
      </c>
    </row>
    <row r="20" spans="1:6" x14ac:dyDescent="0.7">
      <c r="A20">
        <v>17</v>
      </c>
      <c r="B20" s="2">
        <v>243000</v>
      </c>
      <c r="C20" s="2">
        <v>260000</v>
      </c>
      <c r="D20" s="13"/>
      <c r="E20" s="2"/>
      <c r="F20" s="17" t="s">
        <v>2</v>
      </c>
    </row>
    <row r="21" spans="1:6" x14ac:dyDescent="0.7">
      <c r="A21">
        <v>18</v>
      </c>
      <c r="B21" s="2">
        <v>333000</v>
      </c>
      <c r="C21" s="2">
        <v>346000</v>
      </c>
      <c r="D21" s="13"/>
      <c r="E21" s="2"/>
      <c r="F21" s="17" t="s">
        <v>2</v>
      </c>
    </row>
    <row r="22" spans="1:6" x14ac:dyDescent="0.7">
      <c r="A22">
        <v>19</v>
      </c>
      <c r="B22" s="2">
        <v>194000</v>
      </c>
      <c r="C22" s="2">
        <v>271000</v>
      </c>
      <c r="D22" s="13"/>
      <c r="E22" s="2"/>
      <c r="F22" s="17" t="s">
        <v>2</v>
      </c>
    </row>
    <row r="23" spans="1:6" x14ac:dyDescent="0.7">
      <c r="A23" s="1">
        <v>20</v>
      </c>
      <c r="B23" s="3">
        <v>450000</v>
      </c>
      <c r="C23" s="3">
        <v>237000</v>
      </c>
      <c r="D23" s="13"/>
      <c r="E23" s="2"/>
      <c r="F23" s="17" t="s">
        <v>2</v>
      </c>
    </row>
    <row r="24" spans="1:6" x14ac:dyDescent="0.7">
      <c r="A24" s="16" t="s">
        <v>1</v>
      </c>
      <c r="B24" s="2">
        <f>AVERAGE(B4:B23)</f>
        <v>274150</v>
      </c>
      <c r="C24" s="2">
        <f>AVERAGE(C4:C23)</f>
        <v>318000</v>
      </c>
      <c r="E24" s="2"/>
      <c r="F24" s="17" t="s">
        <v>3</v>
      </c>
    </row>
    <row r="25" spans="1:6" x14ac:dyDescent="0.7">
      <c r="A25" s="15" t="s">
        <v>5</v>
      </c>
      <c r="B25" s="3">
        <f>MEDIAN(B4:B23)</f>
        <v>264000</v>
      </c>
      <c r="C25" s="3">
        <f>MEDIAN(C4:C23)</f>
        <v>309500</v>
      </c>
      <c r="E25" s="2"/>
      <c r="F25" s="17" t="s">
        <v>3</v>
      </c>
    </row>
    <row r="26" spans="1:6" x14ac:dyDescent="0.7">
      <c r="E26" s="2"/>
      <c r="F26" s="17" t="s">
        <v>3</v>
      </c>
    </row>
    <row r="27" spans="1:6" x14ac:dyDescent="0.7">
      <c r="E27" s="2"/>
      <c r="F27" s="17" t="s">
        <v>3</v>
      </c>
    </row>
    <row r="28" spans="1:6" x14ac:dyDescent="0.7">
      <c r="E28" s="2"/>
      <c r="F28" s="17" t="s">
        <v>3</v>
      </c>
    </row>
    <row r="29" spans="1:6" x14ac:dyDescent="0.7">
      <c r="E29" s="2"/>
      <c r="F29" s="17" t="s">
        <v>3</v>
      </c>
    </row>
    <row r="30" spans="1:6" x14ac:dyDescent="0.7">
      <c r="E30" s="2"/>
      <c r="F30" s="17" t="s">
        <v>3</v>
      </c>
    </row>
    <row r="31" spans="1:6" x14ac:dyDescent="0.7">
      <c r="E31" s="2"/>
      <c r="F31" s="17" t="s">
        <v>3</v>
      </c>
    </row>
    <row r="32" spans="1:6" x14ac:dyDescent="0.7">
      <c r="E32" s="2"/>
      <c r="F32" s="17" t="s">
        <v>3</v>
      </c>
    </row>
    <row r="33" spans="5:7" x14ac:dyDescent="0.7">
      <c r="E33" s="2"/>
      <c r="F33" s="17" t="s">
        <v>3</v>
      </c>
    </row>
    <row r="34" spans="5:7" x14ac:dyDescent="0.7">
      <c r="E34" s="2"/>
      <c r="F34" s="17" t="s">
        <v>3</v>
      </c>
    </row>
    <row r="35" spans="5:7" x14ac:dyDescent="0.7">
      <c r="E35" s="2"/>
      <c r="F35" s="17" t="s">
        <v>3</v>
      </c>
    </row>
    <row r="36" spans="5:7" x14ac:dyDescent="0.7">
      <c r="E36" s="2"/>
      <c r="F36" s="17" t="s">
        <v>3</v>
      </c>
    </row>
    <row r="37" spans="5:7" x14ac:dyDescent="0.7">
      <c r="E37" s="2"/>
      <c r="F37" s="17" t="s">
        <v>3</v>
      </c>
    </row>
    <row r="38" spans="5:7" x14ac:dyDescent="0.7">
      <c r="E38" s="2"/>
      <c r="F38" s="17" t="s">
        <v>3</v>
      </c>
    </row>
    <row r="39" spans="5:7" x14ac:dyDescent="0.7">
      <c r="E39" s="2"/>
      <c r="F39" s="17" t="s">
        <v>3</v>
      </c>
    </row>
    <row r="40" spans="5:7" x14ac:dyDescent="0.7">
      <c r="E40" s="2"/>
      <c r="F40" s="17" t="s">
        <v>3</v>
      </c>
    </row>
    <row r="41" spans="5:7" x14ac:dyDescent="0.7">
      <c r="E41" s="2"/>
      <c r="F41" s="17" t="s">
        <v>3</v>
      </c>
    </row>
    <row r="42" spans="5:7" x14ac:dyDescent="0.7">
      <c r="E42" s="2"/>
      <c r="F42" s="17" t="s">
        <v>3</v>
      </c>
    </row>
    <row r="43" spans="5:7" x14ac:dyDescent="0.7">
      <c r="E43" s="3"/>
      <c r="F43" s="18" t="s">
        <v>3</v>
      </c>
      <c r="G43" s="1"/>
    </row>
  </sheetData>
  <phoneticPr fontId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657736-F9A5-4768-8BB3-89B314D3443E}">
  <dimension ref="A1:L43"/>
  <sheetViews>
    <sheetView workbookViewId="0">
      <selection activeCell="E4" sqref="E4"/>
    </sheetView>
  </sheetViews>
  <sheetFormatPr defaultRowHeight="17.649999999999999" x14ac:dyDescent="0.7"/>
  <cols>
    <col min="1" max="3" width="9" customWidth="1"/>
  </cols>
  <sheetData>
    <row r="1" spans="1:12" x14ac:dyDescent="0.7">
      <c r="A1" s="5" t="s">
        <v>11</v>
      </c>
      <c r="B1" s="8"/>
      <c r="C1" s="10"/>
      <c r="E1" s="27" t="s">
        <v>7</v>
      </c>
      <c r="F1" s="27"/>
      <c r="G1" s="27"/>
      <c r="I1" s="22" t="s">
        <v>4</v>
      </c>
      <c r="J1" s="23"/>
      <c r="K1" s="24"/>
      <c r="L1" s="24"/>
    </row>
    <row r="3" spans="1:12" x14ac:dyDescent="0.7">
      <c r="A3" s="7" t="s">
        <v>6</v>
      </c>
      <c r="B3" s="7" t="s">
        <v>12</v>
      </c>
      <c r="C3" s="7" t="s">
        <v>13</v>
      </c>
      <c r="E3" s="6" t="s">
        <v>15</v>
      </c>
      <c r="F3" s="6" t="s">
        <v>14</v>
      </c>
      <c r="G3" s="6" t="s">
        <v>7</v>
      </c>
      <c r="I3" s="21" t="s">
        <v>14</v>
      </c>
      <c r="J3" s="21" t="s">
        <v>8</v>
      </c>
      <c r="K3" s="21" t="s">
        <v>18</v>
      </c>
      <c r="L3" s="21" t="s">
        <v>9</v>
      </c>
    </row>
    <row r="4" spans="1:12" x14ac:dyDescent="0.7">
      <c r="A4">
        <v>1</v>
      </c>
      <c r="B4" s="2">
        <v>224000</v>
      </c>
      <c r="C4" s="2">
        <v>229000</v>
      </c>
      <c r="D4" s="13"/>
      <c r="E4" s="2" cm="1">
        <f t="array" ref="E4:E43">_xlfn.VSTACK(B4:B23,C4:C23)</f>
        <v>224000</v>
      </c>
      <c r="F4" s="17" t="s">
        <v>2</v>
      </c>
      <c r="G4" cm="1">
        <f t="array" ref="G4:G43">_xlfn.RANK.AVG(E4:E43,E4:E43,1)</f>
        <v>9</v>
      </c>
      <c r="I4" s="19" t="s">
        <v>2</v>
      </c>
      <c r="J4">
        <f>SUMIF(F4:F43,I4,_xlfn.ANCHORARRAY(G4))</f>
        <v>361</v>
      </c>
      <c r="K4">
        <f>COUNT(B4:B23)</f>
        <v>20</v>
      </c>
      <c r="L4">
        <f>J4-K4*(K4+1)/2</f>
        <v>151</v>
      </c>
    </row>
    <row r="5" spans="1:12" x14ac:dyDescent="0.7">
      <c r="A5">
        <v>2</v>
      </c>
      <c r="B5" s="2">
        <v>359000</v>
      </c>
      <c r="C5" s="2">
        <v>349000</v>
      </c>
      <c r="D5" s="13"/>
      <c r="E5" s="2">
        <v>359000</v>
      </c>
      <c r="F5" s="17" t="s">
        <v>2</v>
      </c>
      <c r="G5">
        <v>31</v>
      </c>
      <c r="I5" s="20" t="s">
        <v>3</v>
      </c>
      <c r="J5" s="1">
        <f>SUMIF(F4:F43,I5,_xlfn.ANCHORARRAY(G4))</f>
        <v>459</v>
      </c>
      <c r="K5" s="1">
        <f>COUNT(C4:C23)</f>
        <v>20</v>
      </c>
      <c r="L5" s="1">
        <f>J5-K5*(K5+1)/2</f>
        <v>249</v>
      </c>
    </row>
    <row r="6" spans="1:12" x14ac:dyDescent="0.7">
      <c r="A6">
        <v>3</v>
      </c>
      <c r="B6" s="2">
        <v>150000</v>
      </c>
      <c r="C6" s="2">
        <v>180000</v>
      </c>
      <c r="D6" s="13"/>
      <c r="E6" s="2">
        <v>150000</v>
      </c>
      <c r="F6" s="17" t="s">
        <v>2</v>
      </c>
      <c r="G6">
        <v>1</v>
      </c>
    </row>
    <row r="7" spans="1:12" x14ac:dyDescent="0.7">
      <c r="A7">
        <v>4</v>
      </c>
      <c r="B7" s="2">
        <v>199000</v>
      </c>
      <c r="C7" s="2">
        <v>363000</v>
      </c>
      <c r="D7" s="13"/>
      <c r="E7" s="2">
        <v>199000</v>
      </c>
      <c r="F7" s="17" t="s">
        <v>2</v>
      </c>
      <c r="G7">
        <v>7</v>
      </c>
      <c r="I7" s="25" t="s">
        <v>16</v>
      </c>
      <c r="J7" s="26">
        <f>L4-(K4*K5)/2+0.5</f>
        <v>-48.5</v>
      </c>
    </row>
    <row r="8" spans="1:12" x14ac:dyDescent="0.7">
      <c r="A8">
        <v>5</v>
      </c>
      <c r="B8" s="2">
        <v>307000</v>
      </c>
      <c r="C8" s="2">
        <v>249000</v>
      </c>
      <c r="D8" s="13"/>
      <c r="E8" s="2">
        <v>307000</v>
      </c>
      <c r="F8" s="17" t="s">
        <v>2</v>
      </c>
      <c r="G8">
        <v>24</v>
      </c>
      <c r="I8" s="11" t="s">
        <v>17</v>
      </c>
      <c r="J8" s="4">
        <f>SQRT(K4*K5*(K4+K5+1)/12)</f>
        <v>36.968455021364726</v>
      </c>
    </row>
    <row r="9" spans="1:12" x14ac:dyDescent="0.7">
      <c r="A9">
        <v>6</v>
      </c>
      <c r="B9" s="2">
        <v>366000</v>
      </c>
      <c r="C9" s="2">
        <v>396000</v>
      </c>
      <c r="D9" s="13"/>
      <c r="E9" s="2">
        <v>366000</v>
      </c>
      <c r="F9" s="17" t="s">
        <v>2</v>
      </c>
      <c r="G9">
        <v>33</v>
      </c>
      <c r="I9" s="11" t="s">
        <v>10</v>
      </c>
      <c r="J9" s="4">
        <f>J7/J8</f>
        <v>-1.3119293184411138</v>
      </c>
    </row>
    <row r="10" spans="1:12" x14ac:dyDescent="0.7">
      <c r="A10">
        <v>7</v>
      </c>
      <c r="B10" s="2">
        <v>189000</v>
      </c>
      <c r="C10" s="2">
        <v>321000</v>
      </c>
      <c r="D10" s="13"/>
      <c r="E10" s="2">
        <v>189000</v>
      </c>
      <c r="F10" s="17" t="s">
        <v>2</v>
      </c>
      <c r="G10">
        <v>5</v>
      </c>
      <c r="I10" s="12" t="s">
        <v>0</v>
      </c>
      <c r="J10" s="9">
        <f>(1-_xlfn.NORM.S.DIST(ABS(J9),TRUE))*2</f>
        <v>0.18954398415898099</v>
      </c>
    </row>
    <row r="11" spans="1:12" x14ac:dyDescent="0.7">
      <c r="A11">
        <v>8</v>
      </c>
      <c r="B11" s="2">
        <v>244000</v>
      </c>
      <c r="C11" s="2">
        <v>376000</v>
      </c>
      <c r="D11" s="13"/>
      <c r="E11" s="2">
        <v>244000</v>
      </c>
      <c r="F11" s="17" t="s">
        <v>2</v>
      </c>
      <c r="G11">
        <v>16</v>
      </c>
    </row>
    <row r="12" spans="1:12" x14ac:dyDescent="0.7">
      <c r="A12">
        <v>9</v>
      </c>
      <c r="B12" s="2">
        <v>348000</v>
      </c>
      <c r="C12" s="14">
        <v>487000</v>
      </c>
      <c r="D12" s="13"/>
      <c r="E12" s="2">
        <v>348000</v>
      </c>
      <c r="F12" s="17" t="s">
        <v>2</v>
      </c>
      <c r="G12">
        <v>29</v>
      </c>
    </row>
    <row r="13" spans="1:12" x14ac:dyDescent="0.7">
      <c r="A13">
        <v>10</v>
      </c>
      <c r="B13" s="14">
        <v>158000</v>
      </c>
      <c r="C13" s="2">
        <v>241000</v>
      </c>
      <c r="D13" s="13"/>
      <c r="E13" s="2">
        <v>158000</v>
      </c>
      <c r="F13" s="17" t="s">
        <v>2</v>
      </c>
      <c r="G13">
        <v>3</v>
      </c>
    </row>
    <row r="14" spans="1:12" x14ac:dyDescent="0.7">
      <c r="A14">
        <v>11</v>
      </c>
      <c r="B14" s="2">
        <v>240000</v>
      </c>
      <c r="C14" s="2">
        <v>232000</v>
      </c>
      <c r="D14" s="13"/>
      <c r="E14" s="2">
        <v>240000</v>
      </c>
      <c r="F14" s="17" t="s">
        <v>2</v>
      </c>
      <c r="G14">
        <v>13</v>
      </c>
    </row>
    <row r="15" spans="1:12" x14ac:dyDescent="0.7">
      <c r="A15">
        <v>12</v>
      </c>
      <c r="B15" s="2">
        <v>157000</v>
      </c>
      <c r="C15" s="2">
        <v>299000</v>
      </c>
      <c r="D15" s="13"/>
      <c r="E15" s="2">
        <v>157000</v>
      </c>
      <c r="F15" s="17" t="s">
        <v>2</v>
      </c>
      <c r="G15">
        <v>2</v>
      </c>
    </row>
    <row r="16" spans="1:12" x14ac:dyDescent="0.7">
      <c r="A16">
        <v>13</v>
      </c>
      <c r="B16" s="2">
        <v>284000</v>
      </c>
      <c r="C16" s="2">
        <v>389000</v>
      </c>
      <c r="D16" s="13"/>
      <c r="E16" s="2">
        <v>284000</v>
      </c>
      <c r="F16" s="17" t="s">
        <v>2</v>
      </c>
      <c r="G16">
        <v>20</v>
      </c>
    </row>
    <row r="17" spans="1:7" x14ac:dyDescent="0.7">
      <c r="A17">
        <v>14</v>
      </c>
      <c r="B17" s="2">
        <v>303000</v>
      </c>
      <c r="C17" s="2">
        <v>215000</v>
      </c>
      <c r="D17" s="13"/>
      <c r="E17" s="2">
        <v>303000</v>
      </c>
      <c r="F17" s="17" t="s">
        <v>2</v>
      </c>
      <c r="G17">
        <v>22</v>
      </c>
    </row>
    <row r="18" spans="1:7" x14ac:dyDescent="0.7">
      <c r="A18">
        <v>15</v>
      </c>
      <c r="B18" s="2">
        <v>306000</v>
      </c>
      <c r="C18" s="2">
        <v>320000</v>
      </c>
      <c r="D18" s="13"/>
      <c r="E18" s="2">
        <v>306000</v>
      </c>
      <c r="F18" s="17" t="s">
        <v>2</v>
      </c>
      <c r="G18">
        <v>23</v>
      </c>
    </row>
    <row r="19" spans="1:7" x14ac:dyDescent="0.7">
      <c r="A19">
        <v>16</v>
      </c>
      <c r="B19" s="2">
        <v>429000</v>
      </c>
      <c r="C19" s="2">
        <v>600000</v>
      </c>
      <c r="D19" s="13"/>
      <c r="E19" s="2">
        <v>429000</v>
      </c>
      <c r="F19" s="17" t="s">
        <v>2</v>
      </c>
      <c r="G19">
        <v>37</v>
      </c>
    </row>
    <row r="20" spans="1:7" x14ac:dyDescent="0.7">
      <c r="A20">
        <v>17</v>
      </c>
      <c r="B20" s="2">
        <v>243000</v>
      </c>
      <c r="C20" s="2">
        <v>260000</v>
      </c>
      <c r="D20" s="13"/>
      <c r="E20" s="2">
        <v>243000</v>
      </c>
      <c r="F20" s="17" t="s">
        <v>2</v>
      </c>
      <c r="G20">
        <v>15</v>
      </c>
    </row>
    <row r="21" spans="1:7" x14ac:dyDescent="0.7">
      <c r="A21">
        <v>18</v>
      </c>
      <c r="B21" s="2">
        <v>333000</v>
      </c>
      <c r="C21" s="2">
        <v>346000</v>
      </c>
      <c r="D21" s="13"/>
      <c r="E21" s="2">
        <v>333000</v>
      </c>
      <c r="F21" s="17" t="s">
        <v>2</v>
      </c>
      <c r="G21">
        <v>27</v>
      </c>
    </row>
    <row r="22" spans="1:7" x14ac:dyDescent="0.7">
      <c r="A22">
        <v>19</v>
      </c>
      <c r="B22" s="2">
        <v>194000</v>
      </c>
      <c r="C22" s="2">
        <v>271000</v>
      </c>
      <c r="D22" s="13"/>
      <c r="E22" s="2">
        <v>194000</v>
      </c>
      <c r="F22" s="17" t="s">
        <v>2</v>
      </c>
      <c r="G22">
        <v>6</v>
      </c>
    </row>
    <row r="23" spans="1:7" x14ac:dyDescent="0.7">
      <c r="A23" s="1">
        <v>20</v>
      </c>
      <c r="B23" s="3">
        <v>450000</v>
      </c>
      <c r="C23" s="3">
        <v>237000</v>
      </c>
      <c r="D23" s="13"/>
      <c r="E23" s="2">
        <v>450000</v>
      </c>
      <c r="F23" s="17" t="s">
        <v>2</v>
      </c>
      <c r="G23">
        <v>38</v>
      </c>
    </row>
    <row r="24" spans="1:7" x14ac:dyDescent="0.7">
      <c r="A24" s="16" t="s">
        <v>1</v>
      </c>
      <c r="B24" s="2">
        <f>AVERAGE(B4:B23)</f>
        <v>274150</v>
      </c>
      <c r="C24" s="2">
        <f>AVERAGE(C4:C23)</f>
        <v>318000</v>
      </c>
      <c r="E24" s="2">
        <v>229000</v>
      </c>
      <c r="F24" s="17" t="s">
        <v>3</v>
      </c>
      <c r="G24">
        <v>10</v>
      </c>
    </row>
    <row r="25" spans="1:7" x14ac:dyDescent="0.7">
      <c r="A25" s="15" t="s">
        <v>5</v>
      </c>
      <c r="B25" s="3">
        <f>MEDIAN(B4:B23)</f>
        <v>264000</v>
      </c>
      <c r="C25" s="3">
        <f>MEDIAN(C4:C23)</f>
        <v>309500</v>
      </c>
      <c r="E25" s="2">
        <v>349000</v>
      </c>
      <c r="F25" s="17" t="s">
        <v>3</v>
      </c>
      <c r="G25">
        <v>30</v>
      </c>
    </row>
    <row r="26" spans="1:7" x14ac:dyDescent="0.7">
      <c r="E26" s="2">
        <v>180000</v>
      </c>
      <c r="F26" s="17" t="s">
        <v>3</v>
      </c>
      <c r="G26">
        <v>4</v>
      </c>
    </row>
    <row r="27" spans="1:7" x14ac:dyDescent="0.7">
      <c r="E27" s="2">
        <v>363000</v>
      </c>
      <c r="F27" s="17" t="s">
        <v>3</v>
      </c>
      <c r="G27">
        <v>32</v>
      </c>
    </row>
    <row r="28" spans="1:7" x14ac:dyDescent="0.7">
      <c r="E28" s="2">
        <v>249000</v>
      </c>
      <c r="F28" s="17" t="s">
        <v>3</v>
      </c>
      <c r="G28">
        <v>17</v>
      </c>
    </row>
    <row r="29" spans="1:7" x14ac:dyDescent="0.7">
      <c r="E29" s="2">
        <v>396000</v>
      </c>
      <c r="F29" s="17" t="s">
        <v>3</v>
      </c>
      <c r="G29">
        <v>36</v>
      </c>
    </row>
    <row r="30" spans="1:7" x14ac:dyDescent="0.7">
      <c r="E30" s="2">
        <v>321000</v>
      </c>
      <c r="F30" s="17" t="s">
        <v>3</v>
      </c>
      <c r="G30">
        <v>26</v>
      </c>
    </row>
    <row r="31" spans="1:7" x14ac:dyDescent="0.7">
      <c r="E31" s="2">
        <v>376000</v>
      </c>
      <c r="F31" s="17" t="s">
        <v>3</v>
      </c>
      <c r="G31">
        <v>34</v>
      </c>
    </row>
    <row r="32" spans="1:7" x14ac:dyDescent="0.7">
      <c r="E32" s="2">
        <v>487000</v>
      </c>
      <c r="F32" s="17" t="s">
        <v>3</v>
      </c>
      <c r="G32">
        <v>39</v>
      </c>
    </row>
    <row r="33" spans="5:7" x14ac:dyDescent="0.7">
      <c r="E33" s="2">
        <v>241000</v>
      </c>
      <c r="F33" s="17" t="s">
        <v>3</v>
      </c>
      <c r="G33">
        <v>14</v>
      </c>
    </row>
    <row r="34" spans="5:7" x14ac:dyDescent="0.7">
      <c r="E34" s="2">
        <v>232000</v>
      </c>
      <c r="F34" s="17" t="s">
        <v>3</v>
      </c>
      <c r="G34">
        <v>11</v>
      </c>
    </row>
    <row r="35" spans="5:7" x14ac:dyDescent="0.7">
      <c r="E35" s="2">
        <v>299000</v>
      </c>
      <c r="F35" s="17" t="s">
        <v>3</v>
      </c>
      <c r="G35">
        <v>21</v>
      </c>
    </row>
    <row r="36" spans="5:7" x14ac:dyDescent="0.7">
      <c r="E36" s="2">
        <v>389000</v>
      </c>
      <c r="F36" s="17" t="s">
        <v>3</v>
      </c>
      <c r="G36">
        <v>35</v>
      </c>
    </row>
    <row r="37" spans="5:7" x14ac:dyDescent="0.7">
      <c r="E37" s="2">
        <v>215000</v>
      </c>
      <c r="F37" s="17" t="s">
        <v>3</v>
      </c>
      <c r="G37">
        <v>8</v>
      </c>
    </row>
    <row r="38" spans="5:7" x14ac:dyDescent="0.7">
      <c r="E38" s="2">
        <v>320000</v>
      </c>
      <c r="F38" s="17" t="s">
        <v>3</v>
      </c>
      <c r="G38">
        <v>25</v>
      </c>
    </row>
    <row r="39" spans="5:7" x14ac:dyDescent="0.7">
      <c r="E39" s="2">
        <v>600000</v>
      </c>
      <c r="F39" s="17" t="s">
        <v>3</v>
      </c>
      <c r="G39">
        <v>40</v>
      </c>
    </row>
    <row r="40" spans="5:7" x14ac:dyDescent="0.7">
      <c r="E40" s="2">
        <v>260000</v>
      </c>
      <c r="F40" s="17" t="s">
        <v>3</v>
      </c>
      <c r="G40">
        <v>18</v>
      </c>
    </row>
    <row r="41" spans="5:7" x14ac:dyDescent="0.7">
      <c r="E41" s="2">
        <v>346000</v>
      </c>
      <c r="F41" s="17" t="s">
        <v>3</v>
      </c>
      <c r="G41">
        <v>28</v>
      </c>
    </row>
    <row r="42" spans="5:7" x14ac:dyDescent="0.7">
      <c r="E42" s="2">
        <v>271000</v>
      </c>
      <c r="F42" s="17" t="s">
        <v>3</v>
      </c>
      <c r="G42">
        <v>19</v>
      </c>
    </row>
    <row r="43" spans="5:7" x14ac:dyDescent="0.7">
      <c r="E43" s="3">
        <v>237000</v>
      </c>
      <c r="F43" s="18" t="s">
        <v>3</v>
      </c>
      <c r="G43" s="1">
        <v>12</v>
      </c>
    </row>
  </sheetData>
  <phoneticPr fontId="1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3F7930-AA3F-46D4-8158-BADEB83EDC73}">
  <dimension ref="A1:U43"/>
  <sheetViews>
    <sheetView workbookViewId="0">
      <selection activeCell="R4" sqref="R4"/>
    </sheetView>
  </sheetViews>
  <sheetFormatPr defaultRowHeight="17.649999999999999" x14ac:dyDescent="0.7"/>
  <cols>
    <col min="1" max="3" width="9" customWidth="1"/>
    <col min="16" max="16" width="44.5625" customWidth="1"/>
    <col min="17" max="17" width="9" customWidth="1"/>
    <col min="19" max="19" width="10.6875" customWidth="1"/>
  </cols>
  <sheetData>
    <row r="1" spans="1:21" x14ac:dyDescent="0.7">
      <c r="A1" s="5" t="s">
        <v>11</v>
      </c>
      <c r="B1" s="8"/>
      <c r="C1" s="10"/>
      <c r="E1" s="27" t="s">
        <v>7</v>
      </c>
      <c r="F1" s="27"/>
      <c r="G1" s="27"/>
      <c r="I1" s="22" t="s">
        <v>4</v>
      </c>
      <c r="J1" s="23"/>
      <c r="K1" s="24"/>
      <c r="L1" s="24"/>
      <c r="N1" s="32" t="s">
        <v>44</v>
      </c>
      <c r="O1" s="33"/>
      <c r="P1" s="33"/>
      <c r="R1" s="28" t="s">
        <v>27</v>
      </c>
    </row>
    <row r="3" spans="1:21" x14ac:dyDescent="0.7">
      <c r="A3" s="7" t="s">
        <v>6</v>
      </c>
      <c r="B3" s="7" t="s">
        <v>12</v>
      </c>
      <c r="C3" s="7" t="s">
        <v>13</v>
      </c>
      <c r="E3" s="6" t="s">
        <v>15</v>
      </c>
      <c r="F3" s="6" t="s">
        <v>14</v>
      </c>
      <c r="G3" s="6" t="s">
        <v>7</v>
      </c>
      <c r="I3" s="21" t="s">
        <v>14</v>
      </c>
      <c r="J3" s="21" t="s">
        <v>8</v>
      </c>
      <c r="K3" s="21" t="s">
        <v>18</v>
      </c>
      <c r="L3" s="21" t="s">
        <v>9</v>
      </c>
      <c r="R3" s="6" t="s">
        <v>7</v>
      </c>
      <c r="S3" s="6" t="s">
        <v>26</v>
      </c>
      <c r="T3" s="6" t="s">
        <v>28</v>
      </c>
      <c r="U3" s="6" t="s">
        <v>29</v>
      </c>
    </row>
    <row r="4" spans="1:21" x14ac:dyDescent="0.7">
      <c r="A4">
        <v>1</v>
      </c>
      <c r="B4" s="2">
        <v>224000</v>
      </c>
      <c r="C4" s="2">
        <v>229000</v>
      </c>
      <c r="D4" s="13"/>
      <c r="E4" s="2" cm="1">
        <f t="array" ref="E4:E43">_xlfn.VSTACK(B4:B23,C4:C23)</f>
        <v>224000</v>
      </c>
      <c r="F4" s="17" t="s">
        <v>2</v>
      </c>
      <c r="G4" cm="1">
        <f t="array" ref="G4:G43">_xlfn.RANK.AVG(E4:E43,E4:E43,1)</f>
        <v>9</v>
      </c>
      <c r="I4" s="19" t="s">
        <v>2</v>
      </c>
      <c r="J4">
        <f>SUMIF(F4:F43,I4,_xlfn.ANCHORARRAY(G4))</f>
        <v>363.5</v>
      </c>
      <c r="K4">
        <f>COUNT(B4:B23)</f>
        <v>20</v>
      </c>
      <c r="L4">
        <f>J4-K4*(K4+1)/2</f>
        <v>153.5</v>
      </c>
      <c r="R4" cm="1">
        <f t="array" ref="R4:R43">_xlfn._xlws.SORT(G4:G43)</f>
        <v>1</v>
      </c>
      <c r="S4" cm="1">
        <f t="array" ref="S4:S41">_xlfn.UNIQUE(_xlfn.ANCHORARRAY(R4))</f>
        <v>1</v>
      </c>
      <c r="T4" cm="1">
        <f t="array" ref="T4:T41">COUNTIF(_xlfn.ANCHORARRAY(R4),_xlfn.ANCHORARRAY(S4))</f>
        <v>1</v>
      </c>
      <c r="U4" cm="1">
        <f t="array" ref="U4:U5">_xlfn._xlws.FILTER(_xlfn.ANCHORARRAY(T4),_xlfn.ANCHORARRAY(T4)&gt;1)</f>
        <v>2</v>
      </c>
    </row>
    <row r="5" spans="1:21" x14ac:dyDescent="0.7">
      <c r="A5">
        <v>2</v>
      </c>
      <c r="B5" s="2">
        <v>359000</v>
      </c>
      <c r="C5" s="2">
        <v>349000</v>
      </c>
      <c r="D5" s="13"/>
      <c r="E5" s="2">
        <v>359000</v>
      </c>
      <c r="F5" s="17" t="s">
        <v>2</v>
      </c>
      <c r="G5">
        <v>32</v>
      </c>
      <c r="I5" s="20" t="s">
        <v>3</v>
      </c>
      <c r="J5" s="1">
        <f>SUMIF(F4:F43,I5,_xlfn.ANCHORARRAY(G4))</f>
        <v>456.5</v>
      </c>
      <c r="K5" s="1">
        <f>COUNT(C4:C23)</f>
        <v>20</v>
      </c>
      <c r="L5" s="1">
        <f>J5-K5*(K5+1)/2</f>
        <v>246.5</v>
      </c>
      <c r="R5">
        <v>2</v>
      </c>
      <c r="S5">
        <v>2</v>
      </c>
      <c r="T5">
        <v>1</v>
      </c>
      <c r="U5">
        <v>2</v>
      </c>
    </row>
    <row r="6" spans="1:21" x14ac:dyDescent="0.7">
      <c r="A6">
        <v>3</v>
      </c>
      <c r="B6" s="2">
        <v>150000</v>
      </c>
      <c r="C6" s="2">
        <v>180000</v>
      </c>
      <c r="D6" s="13"/>
      <c r="E6" s="2">
        <v>150000</v>
      </c>
      <c r="F6" s="17" t="s">
        <v>2</v>
      </c>
      <c r="G6">
        <v>1</v>
      </c>
      <c r="R6">
        <v>3</v>
      </c>
      <c r="S6">
        <v>3</v>
      </c>
      <c r="T6">
        <v>1</v>
      </c>
    </row>
    <row r="7" spans="1:21" x14ac:dyDescent="0.7">
      <c r="A7">
        <v>4</v>
      </c>
      <c r="B7" s="2">
        <v>199000</v>
      </c>
      <c r="C7" s="2">
        <v>333000</v>
      </c>
      <c r="D7" s="13"/>
      <c r="E7" s="2">
        <v>199000</v>
      </c>
      <c r="F7" s="17" t="s">
        <v>2</v>
      </c>
      <c r="G7">
        <v>7</v>
      </c>
      <c r="I7" s="25" t="s">
        <v>16</v>
      </c>
      <c r="J7" s="26">
        <f>L4-(K4*K5)/2+0.5</f>
        <v>-46</v>
      </c>
      <c r="N7" s="25" t="s">
        <v>16</v>
      </c>
      <c r="O7" s="26">
        <f>J7</f>
        <v>-46</v>
      </c>
      <c r="R7">
        <v>4</v>
      </c>
      <c r="S7">
        <v>4</v>
      </c>
      <c r="T7">
        <v>1</v>
      </c>
    </row>
    <row r="8" spans="1:21" x14ac:dyDescent="0.7">
      <c r="A8">
        <v>5</v>
      </c>
      <c r="B8" s="2">
        <v>307000</v>
      </c>
      <c r="C8" s="2">
        <v>249000</v>
      </c>
      <c r="D8" s="13"/>
      <c r="E8" s="2">
        <v>307000</v>
      </c>
      <c r="F8" s="17" t="s">
        <v>2</v>
      </c>
      <c r="G8">
        <v>24</v>
      </c>
      <c r="I8" s="11" t="s">
        <v>17</v>
      </c>
      <c r="J8" s="4">
        <f>SQRT(K4*K5*(K4+K5+1)/12)</f>
        <v>36.968455021364726</v>
      </c>
      <c r="K8" s="28" t="s">
        <v>24</v>
      </c>
      <c r="N8" s="11" t="s">
        <v>25</v>
      </c>
      <c r="O8" s="4">
        <f>SQRT(O25)</f>
        <v>36.964986898553832</v>
      </c>
      <c r="P8" s="28" t="s">
        <v>37</v>
      </c>
      <c r="R8">
        <v>5</v>
      </c>
      <c r="S8">
        <v>5</v>
      </c>
      <c r="T8">
        <v>1</v>
      </c>
    </row>
    <row r="9" spans="1:21" x14ac:dyDescent="0.7">
      <c r="A9">
        <v>6</v>
      </c>
      <c r="B9" s="2">
        <v>366000</v>
      </c>
      <c r="C9" s="2">
        <v>396000</v>
      </c>
      <c r="D9" s="13"/>
      <c r="E9" s="2">
        <v>366000</v>
      </c>
      <c r="F9" s="17" t="s">
        <v>2</v>
      </c>
      <c r="G9">
        <v>33</v>
      </c>
      <c r="I9" s="11" t="s">
        <v>10</v>
      </c>
      <c r="J9" s="4">
        <f>J7/J8</f>
        <v>-1.2443040958410565</v>
      </c>
      <c r="N9" s="11" t="s">
        <v>10</v>
      </c>
      <c r="O9" s="4">
        <f>J7/O8</f>
        <v>-1.2444208387315738</v>
      </c>
      <c r="R9">
        <v>6</v>
      </c>
      <c r="S9">
        <v>6</v>
      </c>
      <c r="T9">
        <v>1</v>
      </c>
    </row>
    <row r="10" spans="1:21" x14ac:dyDescent="0.7">
      <c r="A10">
        <v>7</v>
      </c>
      <c r="B10" s="2">
        <v>189000</v>
      </c>
      <c r="C10" s="2">
        <v>320000</v>
      </c>
      <c r="D10" s="13"/>
      <c r="E10" s="2">
        <v>189000</v>
      </c>
      <c r="F10" s="17" t="s">
        <v>2</v>
      </c>
      <c r="G10">
        <v>5</v>
      </c>
      <c r="I10" s="12" t="s">
        <v>0</v>
      </c>
      <c r="J10" s="9">
        <f>(1-_xlfn.NORM.S.DIST(ABS(J9),TRUE))*2</f>
        <v>0.21338766418299016</v>
      </c>
      <c r="N10" s="12" t="s">
        <v>0</v>
      </c>
      <c r="O10" s="9">
        <f>(1-_xlfn.NORM.S.DIST(ABS(O9),TRUE))*2</f>
        <v>0.21334471731719473</v>
      </c>
      <c r="R10">
        <v>7</v>
      </c>
      <c r="S10">
        <v>7</v>
      </c>
      <c r="T10">
        <v>1</v>
      </c>
    </row>
    <row r="11" spans="1:21" x14ac:dyDescent="0.7">
      <c r="A11">
        <v>8</v>
      </c>
      <c r="B11" s="2">
        <v>244000</v>
      </c>
      <c r="C11" s="2">
        <v>376000</v>
      </c>
      <c r="D11" s="13"/>
      <c r="E11" s="2">
        <v>244000</v>
      </c>
      <c r="F11" s="17" t="s">
        <v>2</v>
      </c>
      <c r="G11">
        <v>16</v>
      </c>
      <c r="R11">
        <v>8</v>
      </c>
      <c r="S11">
        <v>8</v>
      </c>
      <c r="T11">
        <v>1</v>
      </c>
    </row>
    <row r="12" spans="1:21" x14ac:dyDescent="0.7">
      <c r="A12">
        <v>9</v>
      </c>
      <c r="B12" s="2">
        <v>348000</v>
      </c>
      <c r="C12" s="14">
        <v>487000</v>
      </c>
      <c r="D12" s="13"/>
      <c r="E12" s="2">
        <v>348000</v>
      </c>
      <c r="F12" s="17" t="s">
        <v>2</v>
      </c>
      <c r="G12">
        <v>30</v>
      </c>
      <c r="N12" s="32" t="s">
        <v>34</v>
      </c>
      <c r="O12" s="32"/>
      <c r="P12" s="32"/>
      <c r="R12">
        <v>9</v>
      </c>
      <c r="S12">
        <v>9</v>
      </c>
      <c r="T12">
        <v>1</v>
      </c>
    </row>
    <row r="13" spans="1:21" x14ac:dyDescent="0.7">
      <c r="A13">
        <v>10</v>
      </c>
      <c r="B13" s="14">
        <v>158000</v>
      </c>
      <c r="C13" s="2">
        <v>241000</v>
      </c>
      <c r="D13" s="13"/>
      <c r="E13" s="2">
        <v>158000</v>
      </c>
      <c r="F13" s="17" t="s">
        <v>2</v>
      </c>
      <c r="G13">
        <v>3</v>
      </c>
      <c r="R13">
        <v>10</v>
      </c>
      <c r="S13">
        <v>10</v>
      </c>
      <c r="T13">
        <v>1</v>
      </c>
    </row>
    <row r="14" spans="1:21" x14ac:dyDescent="0.7">
      <c r="A14">
        <v>11</v>
      </c>
      <c r="B14" s="2">
        <v>240000</v>
      </c>
      <c r="C14" s="2">
        <v>232000</v>
      </c>
      <c r="D14" s="13"/>
      <c r="E14" s="2">
        <v>240000</v>
      </c>
      <c r="F14" s="17" t="s">
        <v>2</v>
      </c>
      <c r="G14">
        <v>13</v>
      </c>
      <c r="N14" s="34" t="s">
        <v>35</v>
      </c>
      <c r="O14" s="35"/>
      <c r="P14" s="35"/>
      <c r="R14">
        <v>11</v>
      </c>
      <c r="S14">
        <v>11</v>
      </c>
      <c r="T14">
        <v>1</v>
      </c>
    </row>
    <row r="15" spans="1:21" x14ac:dyDescent="0.7">
      <c r="A15">
        <v>12</v>
      </c>
      <c r="B15" s="2">
        <v>157000</v>
      </c>
      <c r="C15" s="2">
        <v>299000</v>
      </c>
      <c r="D15" s="13"/>
      <c r="E15" s="2">
        <v>157000</v>
      </c>
      <c r="F15" s="17" t="s">
        <v>2</v>
      </c>
      <c r="G15">
        <v>2</v>
      </c>
      <c r="N15" s="30" t="s">
        <v>39</v>
      </c>
      <c r="O15" t="s">
        <v>31</v>
      </c>
      <c r="R15">
        <v>12</v>
      </c>
      <c r="S15">
        <v>12</v>
      </c>
      <c r="T15">
        <v>1</v>
      </c>
    </row>
    <row r="16" spans="1:21" x14ac:dyDescent="0.7">
      <c r="A16">
        <v>13</v>
      </c>
      <c r="B16" s="2">
        <v>284000</v>
      </c>
      <c r="C16" s="2">
        <v>389000</v>
      </c>
      <c r="D16" s="13"/>
      <c r="E16" s="2">
        <v>284000</v>
      </c>
      <c r="F16" s="17" t="s">
        <v>2</v>
      </c>
      <c r="G16">
        <v>20</v>
      </c>
      <c r="N16" s="30" t="s">
        <v>36</v>
      </c>
      <c r="O16" t="s">
        <v>33</v>
      </c>
      <c r="R16">
        <v>13</v>
      </c>
      <c r="S16">
        <v>13</v>
      </c>
      <c r="T16">
        <v>1</v>
      </c>
    </row>
    <row r="17" spans="1:20" x14ac:dyDescent="0.7">
      <c r="A17">
        <v>14</v>
      </c>
      <c r="B17" s="2">
        <v>303000</v>
      </c>
      <c r="C17" s="2">
        <v>215000</v>
      </c>
      <c r="D17" s="13"/>
      <c r="E17" s="2">
        <v>303000</v>
      </c>
      <c r="F17" s="17" t="s">
        <v>2</v>
      </c>
      <c r="G17">
        <v>22</v>
      </c>
      <c r="N17" s="30" t="s">
        <v>30</v>
      </c>
      <c r="O17" t="s">
        <v>40</v>
      </c>
      <c r="R17">
        <v>14</v>
      </c>
      <c r="S17">
        <v>14</v>
      </c>
      <c r="T17">
        <v>1</v>
      </c>
    </row>
    <row r="18" spans="1:20" x14ac:dyDescent="0.7">
      <c r="A18">
        <v>15</v>
      </c>
      <c r="B18" s="2">
        <v>306000</v>
      </c>
      <c r="C18" s="2">
        <v>320000</v>
      </c>
      <c r="D18" s="13"/>
      <c r="E18" s="2">
        <v>306000</v>
      </c>
      <c r="F18" s="17" t="s">
        <v>2</v>
      </c>
      <c r="G18">
        <v>23</v>
      </c>
      <c r="N18" s="30" t="s">
        <v>32</v>
      </c>
      <c r="O18" t="s">
        <v>41</v>
      </c>
      <c r="R18">
        <v>15</v>
      </c>
      <c r="S18">
        <v>15</v>
      </c>
      <c r="T18">
        <v>1</v>
      </c>
    </row>
    <row r="19" spans="1:20" x14ac:dyDescent="0.7">
      <c r="A19">
        <v>16</v>
      </c>
      <c r="B19" s="2">
        <v>429000</v>
      </c>
      <c r="C19" s="2">
        <v>600000</v>
      </c>
      <c r="D19" s="13"/>
      <c r="E19" s="2">
        <v>429000</v>
      </c>
      <c r="F19" s="17" t="s">
        <v>2</v>
      </c>
      <c r="G19">
        <v>37</v>
      </c>
      <c r="R19">
        <v>16</v>
      </c>
      <c r="S19">
        <v>16</v>
      </c>
      <c r="T19">
        <v>1</v>
      </c>
    </row>
    <row r="20" spans="1:20" x14ac:dyDescent="0.7">
      <c r="A20">
        <v>17</v>
      </c>
      <c r="B20" s="2">
        <v>243000</v>
      </c>
      <c r="C20" s="2">
        <v>260000</v>
      </c>
      <c r="D20" s="13"/>
      <c r="E20" s="2">
        <v>243000</v>
      </c>
      <c r="F20" s="17" t="s">
        <v>2</v>
      </c>
      <c r="G20">
        <v>15</v>
      </c>
      <c r="N20" s="31" t="s">
        <v>43</v>
      </c>
      <c r="O20" s="29"/>
      <c r="P20" s="29"/>
      <c r="R20">
        <v>17</v>
      </c>
      <c r="S20">
        <v>17</v>
      </c>
      <c r="T20">
        <v>1</v>
      </c>
    </row>
    <row r="21" spans="1:20" x14ac:dyDescent="0.7">
      <c r="A21">
        <v>18</v>
      </c>
      <c r="B21" s="2">
        <v>333000</v>
      </c>
      <c r="C21" s="2">
        <v>346000</v>
      </c>
      <c r="D21" s="13"/>
      <c r="E21" s="2">
        <v>333000</v>
      </c>
      <c r="F21" s="17" t="s">
        <v>2</v>
      </c>
      <c r="G21">
        <v>27.5</v>
      </c>
      <c r="N21" s="30" t="s">
        <v>20</v>
      </c>
      <c r="O21">
        <f>K4+K5</f>
        <v>40</v>
      </c>
      <c r="P21" t="s">
        <v>38</v>
      </c>
      <c r="R21">
        <v>18</v>
      </c>
      <c r="S21">
        <v>18</v>
      </c>
      <c r="T21">
        <v>1</v>
      </c>
    </row>
    <row r="22" spans="1:20" x14ac:dyDescent="0.7">
      <c r="A22">
        <v>19</v>
      </c>
      <c r="B22" s="2">
        <v>194000</v>
      </c>
      <c r="C22" s="2">
        <v>271000</v>
      </c>
      <c r="D22" s="13"/>
      <c r="E22" s="2">
        <v>194000</v>
      </c>
      <c r="F22" s="17" t="s">
        <v>2</v>
      </c>
      <c r="G22">
        <v>6</v>
      </c>
      <c r="N22" s="30"/>
      <c r="O22" s="4">
        <f>K4*K5/(O21*(O21-1))</f>
        <v>0.25641025641025639</v>
      </c>
      <c r="P22" t="s">
        <v>23</v>
      </c>
      <c r="R22">
        <v>19</v>
      </c>
      <c r="S22">
        <v>19</v>
      </c>
      <c r="T22">
        <v>1</v>
      </c>
    </row>
    <row r="23" spans="1:20" x14ac:dyDescent="0.7">
      <c r="A23" s="1">
        <v>20</v>
      </c>
      <c r="B23" s="3">
        <v>450000</v>
      </c>
      <c r="C23" s="3">
        <v>237000</v>
      </c>
      <c r="D23" s="13"/>
      <c r="E23" s="2">
        <v>450000</v>
      </c>
      <c r="F23" s="17" t="s">
        <v>2</v>
      </c>
      <c r="G23">
        <v>38</v>
      </c>
      <c r="N23" s="30"/>
      <c r="O23">
        <f>(O21^3-O21)/12</f>
        <v>5330</v>
      </c>
      <c r="P23" t="s">
        <v>21</v>
      </c>
      <c r="R23">
        <v>20</v>
      </c>
      <c r="S23">
        <v>20</v>
      </c>
      <c r="T23">
        <v>1</v>
      </c>
    </row>
    <row r="24" spans="1:20" x14ac:dyDescent="0.7">
      <c r="A24" s="16" t="s">
        <v>1</v>
      </c>
      <c r="B24" s="2">
        <f>AVERAGE(B4:B23)</f>
        <v>274150</v>
      </c>
      <c r="C24" s="2">
        <f>AVERAGE(C4:C23)</f>
        <v>316450</v>
      </c>
      <c r="E24" s="2">
        <v>229000</v>
      </c>
      <c r="F24" s="17" t="s">
        <v>3</v>
      </c>
      <c r="G24">
        <v>10</v>
      </c>
      <c r="N24" s="30"/>
      <c r="O24" cm="1">
        <f t="array" ref="O24">SUM((_xlfn.ANCHORARRAY(U4)^3-_xlfn.ANCHORARRAY(U4))/12)</f>
        <v>1</v>
      </c>
      <c r="P24" t="s">
        <v>22</v>
      </c>
      <c r="R24">
        <v>21</v>
      </c>
      <c r="S24">
        <v>21</v>
      </c>
      <c r="T24">
        <v>1</v>
      </c>
    </row>
    <row r="25" spans="1:20" x14ac:dyDescent="0.7">
      <c r="A25" s="15" t="s">
        <v>5</v>
      </c>
      <c r="B25" s="3">
        <f>MEDIAN(B4:B23)</f>
        <v>264000</v>
      </c>
      <c r="C25" s="3">
        <f>MEDIAN(C4:C23)</f>
        <v>309500</v>
      </c>
      <c r="E25" s="2">
        <v>349000</v>
      </c>
      <c r="F25" s="17" t="s">
        <v>3</v>
      </c>
      <c r="G25">
        <v>31</v>
      </c>
      <c r="N25" s="36" t="s">
        <v>19</v>
      </c>
      <c r="O25" s="1">
        <f>O22*(O23-O24)</f>
        <v>1366.4102564102564</v>
      </c>
      <c r="P25" s="37"/>
      <c r="R25">
        <v>22</v>
      </c>
      <c r="S25">
        <v>22</v>
      </c>
      <c r="T25">
        <v>1</v>
      </c>
    </row>
    <row r="26" spans="1:20" x14ac:dyDescent="0.7">
      <c r="E26" s="2">
        <v>180000</v>
      </c>
      <c r="F26" s="17" t="s">
        <v>3</v>
      </c>
      <c r="G26">
        <v>4</v>
      </c>
      <c r="R26">
        <v>23</v>
      </c>
      <c r="S26">
        <v>23</v>
      </c>
      <c r="T26">
        <v>1</v>
      </c>
    </row>
    <row r="27" spans="1:20" x14ac:dyDescent="0.7">
      <c r="A27" s="28" t="s">
        <v>42</v>
      </c>
      <c r="E27" s="2">
        <v>333000</v>
      </c>
      <c r="F27" s="17" t="s">
        <v>3</v>
      </c>
      <c r="G27">
        <v>27.5</v>
      </c>
      <c r="R27">
        <v>24</v>
      </c>
      <c r="S27">
        <v>24</v>
      </c>
      <c r="T27">
        <v>1</v>
      </c>
    </row>
    <row r="28" spans="1:20" x14ac:dyDescent="0.7">
      <c r="E28" s="2">
        <v>249000</v>
      </c>
      <c r="F28" s="17" t="s">
        <v>3</v>
      </c>
      <c r="G28">
        <v>17</v>
      </c>
      <c r="R28">
        <v>25.5</v>
      </c>
      <c r="S28">
        <v>25.5</v>
      </c>
      <c r="T28">
        <v>2</v>
      </c>
    </row>
    <row r="29" spans="1:20" x14ac:dyDescent="0.7">
      <c r="E29" s="2">
        <v>396000</v>
      </c>
      <c r="F29" s="17" t="s">
        <v>3</v>
      </c>
      <c r="G29">
        <v>36</v>
      </c>
      <c r="R29">
        <v>25.5</v>
      </c>
      <c r="S29">
        <v>27.5</v>
      </c>
      <c r="T29">
        <v>2</v>
      </c>
    </row>
    <row r="30" spans="1:20" x14ac:dyDescent="0.7">
      <c r="E30" s="2">
        <v>320000</v>
      </c>
      <c r="F30" s="17" t="s">
        <v>3</v>
      </c>
      <c r="G30">
        <v>25.5</v>
      </c>
      <c r="R30">
        <v>27.5</v>
      </c>
      <c r="S30">
        <v>29</v>
      </c>
      <c r="T30">
        <v>1</v>
      </c>
    </row>
    <row r="31" spans="1:20" x14ac:dyDescent="0.7">
      <c r="E31" s="2">
        <v>376000</v>
      </c>
      <c r="F31" s="17" t="s">
        <v>3</v>
      </c>
      <c r="G31">
        <v>34</v>
      </c>
      <c r="R31">
        <v>27.5</v>
      </c>
      <c r="S31">
        <v>30</v>
      </c>
      <c r="T31">
        <v>1</v>
      </c>
    </row>
    <row r="32" spans="1:20" x14ac:dyDescent="0.7">
      <c r="E32" s="2">
        <v>487000</v>
      </c>
      <c r="F32" s="17" t="s">
        <v>3</v>
      </c>
      <c r="G32">
        <v>39</v>
      </c>
      <c r="R32">
        <v>29</v>
      </c>
      <c r="S32">
        <v>31</v>
      </c>
      <c r="T32">
        <v>1</v>
      </c>
    </row>
    <row r="33" spans="5:20" x14ac:dyDescent="0.7">
      <c r="E33" s="2">
        <v>241000</v>
      </c>
      <c r="F33" s="17" t="s">
        <v>3</v>
      </c>
      <c r="G33">
        <v>14</v>
      </c>
      <c r="R33">
        <v>30</v>
      </c>
      <c r="S33">
        <v>32</v>
      </c>
      <c r="T33">
        <v>1</v>
      </c>
    </row>
    <row r="34" spans="5:20" x14ac:dyDescent="0.7">
      <c r="E34" s="2">
        <v>232000</v>
      </c>
      <c r="F34" s="17" t="s">
        <v>3</v>
      </c>
      <c r="G34">
        <v>11</v>
      </c>
      <c r="R34">
        <v>31</v>
      </c>
      <c r="S34">
        <v>33</v>
      </c>
      <c r="T34">
        <v>1</v>
      </c>
    </row>
    <row r="35" spans="5:20" x14ac:dyDescent="0.7">
      <c r="E35" s="2">
        <v>299000</v>
      </c>
      <c r="F35" s="17" t="s">
        <v>3</v>
      </c>
      <c r="G35">
        <v>21</v>
      </c>
      <c r="R35">
        <v>32</v>
      </c>
      <c r="S35">
        <v>34</v>
      </c>
      <c r="T35">
        <v>1</v>
      </c>
    </row>
    <row r="36" spans="5:20" x14ac:dyDescent="0.7">
      <c r="E36" s="2">
        <v>389000</v>
      </c>
      <c r="F36" s="17" t="s">
        <v>3</v>
      </c>
      <c r="G36">
        <v>35</v>
      </c>
      <c r="R36">
        <v>33</v>
      </c>
      <c r="S36">
        <v>35</v>
      </c>
      <c r="T36">
        <v>1</v>
      </c>
    </row>
    <row r="37" spans="5:20" x14ac:dyDescent="0.7">
      <c r="E37" s="2">
        <v>215000</v>
      </c>
      <c r="F37" s="17" t="s">
        <v>3</v>
      </c>
      <c r="G37">
        <v>8</v>
      </c>
      <c r="R37">
        <v>34</v>
      </c>
      <c r="S37">
        <v>36</v>
      </c>
      <c r="T37">
        <v>1</v>
      </c>
    </row>
    <row r="38" spans="5:20" x14ac:dyDescent="0.7">
      <c r="E38" s="2">
        <v>320000</v>
      </c>
      <c r="F38" s="17" t="s">
        <v>3</v>
      </c>
      <c r="G38">
        <v>25.5</v>
      </c>
      <c r="R38">
        <v>35</v>
      </c>
      <c r="S38">
        <v>37</v>
      </c>
      <c r="T38">
        <v>1</v>
      </c>
    </row>
    <row r="39" spans="5:20" x14ac:dyDescent="0.7">
      <c r="E39" s="2">
        <v>600000</v>
      </c>
      <c r="F39" s="17" t="s">
        <v>3</v>
      </c>
      <c r="G39">
        <v>40</v>
      </c>
      <c r="R39">
        <v>36</v>
      </c>
      <c r="S39">
        <v>38</v>
      </c>
      <c r="T39">
        <v>1</v>
      </c>
    </row>
    <row r="40" spans="5:20" x14ac:dyDescent="0.7">
      <c r="E40" s="2">
        <v>260000</v>
      </c>
      <c r="F40" s="17" t="s">
        <v>3</v>
      </c>
      <c r="G40">
        <v>18</v>
      </c>
      <c r="R40">
        <v>37</v>
      </c>
      <c r="S40">
        <v>39</v>
      </c>
      <c r="T40">
        <v>1</v>
      </c>
    </row>
    <row r="41" spans="5:20" x14ac:dyDescent="0.7">
      <c r="E41" s="2">
        <v>346000</v>
      </c>
      <c r="F41" s="17" t="s">
        <v>3</v>
      </c>
      <c r="G41">
        <v>29</v>
      </c>
      <c r="R41">
        <v>38</v>
      </c>
      <c r="S41">
        <v>40</v>
      </c>
      <c r="T41">
        <v>1</v>
      </c>
    </row>
    <row r="42" spans="5:20" x14ac:dyDescent="0.7">
      <c r="E42" s="2">
        <v>271000</v>
      </c>
      <c r="F42" s="17" t="s">
        <v>3</v>
      </c>
      <c r="G42">
        <v>19</v>
      </c>
      <c r="R42">
        <v>39</v>
      </c>
    </row>
    <row r="43" spans="5:20" x14ac:dyDescent="0.7">
      <c r="E43" s="3">
        <v>237000</v>
      </c>
      <c r="F43" s="18" t="s">
        <v>3</v>
      </c>
      <c r="G43" s="1">
        <v>12</v>
      </c>
      <c r="R43">
        <v>40</v>
      </c>
    </row>
  </sheetData>
  <phoneticPr fontId="1"/>
  <conditionalFormatting sqref="B4:C23">
    <cfRule type="duplicateValues" dxfId="0" priority="1"/>
  </conditionalFormatting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U検定</vt:lpstr>
      <vt:lpstr>U検定 (作成例)</vt:lpstr>
      <vt:lpstr>U検定 (同順位)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羽山博</dc:creator>
  <cp:lastModifiedBy>羽山博</cp:lastModifiedBy>
  <dcterms:created xsi:type="dcterms:W3CDTF">2024-01-14T22:34:46Z</dcterms:created>
  <dcterms:modified xsi:type="dcterms:W3CDTF">2026-01-13T02:13:22Z</dcterms:modified>
</cp:coreProperties>
</file>