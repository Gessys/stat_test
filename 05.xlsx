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2C39A647-16D9-4EC5-AFEE-E44FCE5EF858}" xr6:coauthVersionLast="47" xr6:coauthVersionMax="47" xr10:uidLastSave="{00000000-0000-0000-0000-000000000000}"/>
  <bookViews>
    <workbookView xWindow="6135" yWindow="1440" windowWidth="28185" windowHeight="15030" xr2:uid="{364D8ACA-5D9E-42F8-A078-853F25B5E211}"/>
  </bookViews>
  <sheets>
    <sheet name="母分散の比の検定 (母平均が未知)" sheetId="2" r:id="rId1"/>
    <sheet name="母分散の比の検定 (母平均が未知・作成例)" sheetId="13" r:id="rId2"/>
    <sheet name="母分散の比の検定 (母平均が既知)" sheetId="12" r:id="rId3"/>
    <sheet name="母分散の比の検定 (母平均が既知・作成例)" sheetId="14" r:id="rId4"/>
    <sheet name="【以降は参考です】" sheetId="10" r:id="rId5"/>
    <sheet name="ブラウン・フォーサイス検定" sheetId="15" r:id="rId6"/>
    <sheet name="サンプルサイズ (母平均未知)" sheetId="6" r:id="rId7"/>
    <sheet name="サンプルサイズ (母平均既知)" sheetId="7" r:id="rId8"/>
    <sheet name="サンプルサイズ (ゴールシーク)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3" l="1"/>
  <c r="D8" i="16"/>
  <c r="B5" i="16"/>
  <c r="B8" i="16" s="1"/>
  <c r="J25" i="15"/>
  <c r="E4" i="7"/>
  <c r="E4" i="6"/>
  <c r="J18" i="15" a="1"/>
  <c r="J18" i="15" s="1"/>
  <c r="I18" i="15" a="1"/>
  <c r="I18" i="15" s="1"/>
  <c r="J14" i="15"/>
  <c r="I14" i="15"/>
  <c r="J20" i="15"/>
  <c r="J22" i="15" s="1"/>
  <c r="E5" i="15"/>
  <c r="F5" i="15"/>
  <c r="G6" i="15"/>
  <c r="F6" i="15"/>
  <c r="J4" i="15" s="1" a="1"/>
  <c r="J4" i="15" s="1"/>
  <c r="E6" i="15"/>
  <c r="I4" i="15" s="1" a="1"/>
  <c r="I4" i="15" s="1"/>
  <c r="H6" i="7"/>
  <c r="H4" i="6"/>
  <c r="H6" i="6"/>
  <c r="G5" i="15" l="1"/>
  <c r="J21" i="15" s="1"/>
  <c r="K14" i="15"/>
  <c r="F7" i="14" a="1"/>
  <c r="F7" i="14" s="1"/>
  <c r="E7" i="14" a="1"/>
  <c r="E7" i="14" s="1"/>
  <c r="F6" i="14"/>
  <c r="F5" i="14"/>
  <c r="E5" i="14"/>
  <c r="F7" i="13"/>
  <c r="E7" i="13"/>
  <c r="F6" i="13"/>
  <c r="E6" i="13"/>
  <c r="F5" i="13"/>
  <c r="E5" i="13"/>
  <c r="F6" i="12"/>
  <c r="F5" i="12"/>
  <c r="E5" i="12"/>
  <c r="F7" i="2"/>
  <c r="E7" i="2"/>
  <c r="F5" i="2"/>
  <c r="E5" i="2"/>
  <c r="F6" i="2"/>
  <c r="E6" i="2"/>
  <c r="H5" i="7"/>
  <c r="H4" i="7"/>
  <c r="H5" i="6"/>
  <c r="I17" i="15" l="1"/>
  <c r="J17" i="15"/>
  <c r="I3" i="13"/>
  <c r="K18" i="15"/>
  <c r="E10" i="14"/>
  <c r="E11" i="14" s="1"/>
  <c r="I4" i="13" l="1"/>
  <c r="K17" i="15"/>
  <c r="J24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<sst xmlns="http://schemas.openxmlformats.org/spreadsheetml/2006/main" count="120" uniqueCount="55">
  <si>
    <t>n</t>
    <phoneticPr fontId="1"/>
  </si>
  <si>
    <t>基本統計量</t>
    <rPh sb="0" eb="2">
      <t>キホン</t>
    </rPh>
    <rPh sb="2" eb="5">
      <t>トウケイリョウ</t>
    </rPh>
    <phoneticPr fontId="1"/>
  </si>
  <si>
    <t>P</t>
    <phoneticPr fontId="1"/>
  </si>
  <si>
    <t>標本平均</t>
    <rPh sb="0" eb="2">
      <t>ヒョウホン</t>
    </rPh>
    <rPh sb="2" eb="4">
      <t>ヘイキン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</si>
  <si>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</si>
  <si>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</si>
  <si>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1-α</t>
    </r>
    <phoneticPr fontId="1"/>
  </si>
  <si>
    <t>片側</t>
    <rPh sb="0" eb="2">
      <t>カタガワ</t>
    </rPh>
    <phoneticPr fontId="1"/>
  </si>
  <si>
    <t>有意水準(α)</t>
    <rPh sb="0" eb="2">
      <t>ユウイ</t>
    </rPh>
    <rPh sb="2" eb="4">
      <t>スイジュン</t>
    </rPh>
    <phoneticPr fontId="1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</si>
  <si>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1-β</t>
    </r>
    <phoneticPr fontId="1"/>
  </si>
  <si>
    <t>検出力(1-β)</t>
    <rPh sb="0" eb="3">
      <t>ケンシュツリョク</t>
    </rPh>
    <phoneticPr fontId="1"/>
  </si>
  <si>
    <t>効果量(k)</t>
    <rPh sb="0" eb="2">
      <t>コウカ</t>
    </rPh>
    <rPh sb="2" eb="3">
      <t>リョウ</t>
    </rPh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</si>
  <si>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</si>
  <si>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母分散の比の検定（母平均が未知の場合）</t>
    <rPh sb="0" eb="3">
      <t>ボブンサン</t>
    </rPh>
    <rPh sb="4" eb="5">
      <t>ヒ</t>
    </rPh>
    <rPh sb="6" eb="8">
      <t>ケンテイ</t>
    </rPh>
    <rPh sb="9" eb="12">
      <t>ボヘイキン</t>
    </rPh>
    <rPh sb="13" eb="15">
      <t>ミチ</t>
    </rPh>
    <rPh sb="16" eb="18">
      <t>バアイ</t>
    </rPh>
    <phoneticPr fontId="1"/>
  </si>
  <si>
    <t>寿司職人</t>
    <rPh sb="0" eb="2">
      <t>スシ</t>
    </rPh>
    <rPh sb="2" eb="4">
      <t>ショクニン</t>
    </rPh>
    <phoneticPr fontId="1"/>
  </si>
  <si>
    <t>ロボット</t>
    <phoneticPr fontId="1"/>
  </si>
  <si>
    <t>F検定</t>
    <rPh sb="1" eb="3">
      <t>ケンテイ</t>
    </rPh>
    <phoneticPr fontId="1"/>
  </si>
  <si>
    <t>母平均</t>
    <rPh sb="0" eb="3">
      <t>ボヘイキン</t>
    </rPh>
    <phoneticPr fontId="1"/>
  </si>
  <si>
    <t>母分散の比の検定（母平均が既知の場合）</t>
    <rPh sb="0" eb="3">
      <t>ボブンサン</t>
    </rPh>
    <rPh sb="4" eb="5">
      <t>ヒ</t>
    </rPh>
    <rPh sb="6" eb="8">
      <t>ケンテイ</t>
    </rPh>
    <rPh sb="9" eb="12">
      <t>ボヘイキン</t>
    </rPh>
    <rPh sb="13" eb="15">
      <t>キチ</t>
    </rPh>
    <rPh sb="16" eb="18">
      <t>バアイ</t>
    </rPh>
    <phoneticPr fontId="1"/>
  </si>
  <si>
    <r>
      <t>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/S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</si>
  <si>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とs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</si>
  <si>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とS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</si>
  <si>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sz val="11"/>
        <color theme="1"/>
        <rFont val="游ゴシック"/>
        <family val="3"/>
        <charset val="128"/>
        <scheme val="minor"/>
      </rPr>
      <t>とn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</si>
  <si>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/s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</si>
  <si>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定義通りに計算</t>
    <rPh sb="0" eb="2">
      <t>テイギ</t>
    </rPh>
    <rPh sb="2" eb="3">
      <t>ドオ</t>
    </rPh>
    <rPh sb="5" eb="7">
      <t>ケイサン</t>
    </rPh>
    <phoneticPr fontId="1"/>
  </si>
  <si>
    <t>中央値</t>
    <rPh sb="0" eb="3">
      <t>チュウオウチ</t>
    </rPh>
    <phoneticPr fontId="1"/>
  </si>
  <si>
    <t>全群</t>
    <rPh sb="0" eb="2">
      <t>ゼングン</t>
    </rPh>
    <phoneticPr fontId="1"/>
  </si>
  <si>
    <t>中央値との差</t>
    <rPh sb="0" eb="3">
      <t>チュウオウチ</t>
    </rPh>
    <rPh sb="5" eb="6">
      <t>サ</t>
    </rPh>
    <phoneticPr fontId="1"/>
  </si>
  <si>
    <t>N-k</t>
    <phoneticPr fontId="1"/>
  </si>
  <si>
    <t>k-1</t>
    <phoneticPr fontId="1"/>
  </si>
  <si>
    <t>平均</t>
    <rPh sb="0" eb="2">
      <t>ヘイキン</t>
    </rPh>
    <phoneticPr fontId="1"/>
  </si>
  <si>
    <t>分子</t>
    <rPh sb="0" eb="2">
      <t>ブンシ</t>
    </rPh>
    <phoneticPr fontId="1"/>
  </si>
  <si>
    <t>分母</t>
    <rPh sb="0" eb="2">
      <t>ブンボ</t>
    </rPh>
    <phoneticPr fontId="1"/>
  </si>
  <si>
    <t>T</t>
    <phoneticPr fontId="1"/>
  </si>
  <si>
    <r>
      <t>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sz val="11"/>
        <color theme="1"/>
        <rFont val="游ゴシック"/>
        <family val="3"/>
        <charset val="128"/>
        <scheme val="minor"/>
      </rPr>
      <t>,n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2,N</t>
    </r>
    <phoneticPr fontId="1"/>
  </si>
  <si>
    <t>k</t>
    <phoneticPr fontId="1"/>
  </si>
  <si>
    <t>合計</t>
    <rPh sb="0" eb="2">
      <t>ゴウケイ</t>
    </rPh>
    <phoneticPr fontId="1"/>
  </si>
  <si>
    <t>ブラウン・フォーサイス検定</t>
    <rPh sb="11" eb="13">
      <t>ケンテイ</t>
    </rPh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</si>
  <si>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</si>
  <si>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F検定のサンプルサイズ（母平均が未知の場合）</t>
    <rPh sb="1" eb="3">
      <t>ケンテイ</t>
    </rPh>
    <rPh sb="12" eb="15">
      <t>ボヘイキン</t>
    </rPh>
    <rPh sb="16" eb="18">
      <t>ミチ</t>
    </rPh>
    <phoneticPr fontId="1"/>
  </si>
  <si>
    <t>F検定のサンプルサイズ（母平均が既知の場合）</t>
    <rPh sb="1" eb="3">
      <t>ケンテイ</t>
    </rPh>
    <rPh sb="12" eb="15">
      <t>ボヘイキン</t>
    </rPh>
    <rPh sb="16" eb="18">
      <t>キチ</t>
    </rPh>
    <phoneticPr fontId="1"/>
  </si>
  <si>
    <t>r</t>
    <phoneticPr fontId="1"/>
  </si>
  <si>
    <t>α</t>
    <phoneticPr fontId="1"/>
  </si>
  <si>
    <t>β</t>
    <phoneticPr fontId="1"/>
  </si>
  <si>
    <r>
      <t>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r>
      <rPr>
        <b/>
        <sz val="11"/>
        <color theme="1"/>
        <rFont val="游ゴシック"/>
        <family val="3"/>
        <charset val="128"/>
        <scheme val="minor"/>
      </rPr>
      <t>とn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が異なる場合のサンプルサイズ計算例</t>
    </r>
    <rPh sb="6" eb="7">
      <t>コト</t>
    </rPh>
    <rPh sb="9" eb="11">
      <t>バアイ</t>
    </rPh>
    <rPh sb="19" eb="22">
      <t>ケイサンレイ</t>
    </rPh>
    <phoneticPr fontId="1"/>
  </si>
  <si>
    <t>左辺</t>
    <rPh sb="0" eb="2">
      <t>サヘン</t>
    </rPh>
    <phoneticPr fontId="1"/>
  </si>
  <si>
    <t>右辺</t>
    <rPh sb="0" eb="2">
      <t>ウヘン</t>
    </rPh>
    <phoneticPr fontId="1"/>
  </si>
  <si>
    <r>
      <t>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</si>
  <si>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n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</si>
  <si>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t>①［データ］タブを開き［What-If分析］-［ゴールシーク］を選択する</t>
  </si>
  <si>
    <t>③［目標値］ボックスに0.234と入力する（右辺の値）</t>
  </si>
  <si>
    <t>⑤［OK］ボタンをクリックする</t>
  </si>
  <si>
    <t>④［変化させるセル］ボックスをクリックして、セルB4をクリックする</t>
    <phoneticPr fontId="1"/>
  </si>
  <si>
    <t>②［数値入力セル］ボックスをクリックして、セルB8をクリックする</t>
    <phoneticPr fontId="1"/>
  </si>
  <si>
    <t>手順</t>
    <rPh sb="0" eb="2">
      <t>テジュン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</si>
</sst>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000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2" fillId="2" borderId="0" xfId="0" applyFont="1" applyFill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4" borderId="1" xfId="0" applyFont="1" applyFill="1" applyBorder="1" applyAlignment="1">
      <alignment horizontal="centerContinuous" vertical="center"/>
    </xf>
    <xf numFmtId="2" fontId="0" fillId="0" borderId="2" xfId="0" applyNumberForma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centerContinuous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7" fillId="0" borderId="0" xfId="0" applyNumberFormat="1" applyFont="1">
      <alignment vertical="center"/>
    </xf>
    <xf numFmtId="177" fontId="7" fillId="0" borderId="2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1" xfId="0" applyFill="1" applyBorder="1" applyAlignment="1">
      <alignment horizontal="centerContinuous" vertical="center"/>
    </xf>
    <xf numFmtId="177" fontId="0" fillId="0" borderId="2" xfId="0" applyNumberForma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0" fillId="2" borderId="2" xfId="0" applyFill="1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3</xdr:row>
      <xdr:rowOff>1</xdr:rowOff>
    </xdr:from>
    <xdr:to>
      <xdr:col>18</xdr:col>
      <xdr:colOff>80963</xdr:colOff>
      <xdr:row>17</xdr:row>
      <xdr:rowOff>61913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4981E40-2BCB-4132-8865-D9D3780F3339}"/>
            </a:ext>
          </a:extLst>
        </xdr:cNvPr>
        <xdr:cNvSpPr txBox="1"/>
      </xdr:nvSpPr>
      <xdr:spPr>
        <a:xfrm>
          <a:off x="4114801" y="657226"/>
          <a:ext cx="8310562" cy="3186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en-US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以降のワークシートは参考です</a:t>
          </a:r>
          <a:r>
            <a:rPr lang="ja-JP" altLang="en-US" sz="2400" b="1">
              <a:effectLst/>
            </a:rPr>
            <a:t> </a:t>
          </a:r>
          <a:br>
            <a:rPr lang="ja-JP" altLang="en-US" sz="2400">
              <a:effectLst/>
            </a:rPr>
          </a:br>
          <a:r>
            <a:rPr lang="ja-JP" altLang="en-US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・ブラウン・フォーサイス検定</a:t>
          </a:r>
        </a:p>
        <a:p>
          <a:pPr algn="l"/>
          <a:r>
            <a:rPr lang="ja-JP" altLang="en-US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2400"/>
            <a:t>母分散の比の検定のためのサンプルサイズ見積もり（母平均未知／母平均既知／群によりサンプルサイズが異なる場合）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23813</xdr:rowOff>
    </xdr:from>
    <xdr:to>
      <xdr:col>10</xdr:col>
      <xdr:colOff>452438</xdr:colOff>
      <xdr:row>5</xdr:row>
      <xdr:rowOff>35036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AC798C-55E4-5B57-CC4A-CC448211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490538"/>
          <a:ext cx="3871913" cy="730361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5F00-93CF-42C2-9515-D2DC67C5C23D}">
  <dimension ref="A1:F13"/>
  <sheetViews>
    <sheetView tabSelected="1" workbookViewId="0">
      <selection activeCell="E10" sqref="E10"/>
    </sheetView>
  </sheetViews>
  <sheetFormatPr defaultRowHeight="17.649999999999999" x14ac:dyDescent="0.7"/>
  <cols>
    <col min="4" max="4" width="9" customWidth="1"/>
  </cols>
  <sheetData>
    <row r="1" spans="1:6" x14ac:dyDescent="0.7">
      <c r="A1" s="2" t="s">
        <v>13</v>
      </c>
      <c r="B1" s="2"/>
      <c r="C1" s="2"/>
      <c r="D1" s="2"/>
      <c r="E1" s="2"/>
      <c r="F1" s="12"/>
    </row>
    <row r="3" spans="1:6" x14ac:dyDescent="0.7">
      <c r="A3" s="4" t="s">
        <v>14</v>
      </c>
      <c r="B3" s="4" t="s">
        <v>15</v>
      </c>
      <c r="D3" s="6" t="s">
        <v>1</v>
      </c>
      <c r="E3" s="6"/>
      <c r="F3" s="27"/>
    </row>
    <row r="4" spans="1:6" x14ac:dyDescent="0.7">
      <c r="A4" s="18">
        <v>17.7</v>
      </c>
      <c r="B4" s="18">
        <v>18.399999999999999</v>
      </c>
      <c r="D4" s="22"/>
      <c r="E4" s="13" t="s">
        <v>14</v>
      </c>
      <c r="F4" s="13" t="s">
        <v>15</v>
      </c>
    </row>
    <row r="5" spans="1:6" ht="19.149999999999999" x14ac:dyDescent="0.7">
      <c r="A5" s="18">
        <v>17.7</v>
      </c>
      <c r="B5" s="18">
        <v>18.600000000000001</v>
      </c>
      <c r="D5" s="3" t="s">
        <v>22</v>
      </c>
      <c r="E5">
        <f>COUNT(A4:A13)</f>
        <v>10</v>
      </c>
      <c r="F5">
        <f>COUNT(B4:B13)</f>
        <v>10</v>
      </c>
    </row>
    <row r="6" spans="1:6" x14ac:dyDescent="0.7">
      <c r="A6" s="18">
        <v>17.8</v>
      </c>
      <c r="B6" s="18">
        <v>17.3</v>
      </c>
      <c r="D6" s="3" t="s">
        <v>3</v>
      </c>
      <c r="E6" s="1">
        <f>AVERAGE(A4:A13)</f>
        <v>17.970000000000002</v>
      </c>
      <c r="F6" s="1">
        <f>AVERAGE(B4:B13)</f>
        <v>17.899999999999999</v>
      </c>
    </row>
    <row r="7" spans="1:6" ht="19.149999999999999" x14ac:dyDescent="0.7">
      <c r="A7" s="18">
        <v>18.2</v>
      </c>
      <c r="B7" s="18">
        <v>17.399999999999999</v>
      </c>
      <c r="D7" s="8" t="s">
        <v>20</v>
      </c>
      <c r="E7" s="7">
        <f>_xlfn.VAR.S(A4:A13)</f>
        <v>6.6777777777777783E-2</v>
      </c>
      <c r="F7" s="7">
        <f>_xlfn.VAR.S(B4:B13)</f>
        <v>0.23777777777777798</v>
      </c>
    </row>
    <row r="8" spans="1:6" x14ac:dyDescent="0.7">
      <c r="A8" s="18">
        <v>18.399999999999999</v>
      </c>
      <c r="B8" s="18">
        <v>18</v>
      </c>
    </row>
    <row r="9" spans="1:6" x14ac:dyDescent="0.7">
      <c r="A9" s="18">
        <v>18</v>
      </c>
      <c r="B9" s="18">
        <v>17.399999999999999</v>
      </c>
      <c r="D9" s="6" t="s">
        <v>16</v>
      </c>
      <c r="E9" s="6"/>
    </row>
    <row r="10" spans="1:6" x14ac:dyDescent="0.7">
      <c r="A10" s="18">
        <v>17.7</v>
      </c>
      <c r="B10" s="18">
        <v>18.5</v>
      </c>
      <c r="D10" s="20" t="s">
        <v>2</v>
      </c>
      <c r="E10" s="21"/>
    </row>
    <row r="11" spans="1:6" x14ac:dyDescent="0.7">
      <c r="A11" s="18">
        <v>18.3</v>
      </c>
      <c r="B11" s="18">
        <v>18.100000000000001</v>
      </c>
    </row>
    <row r="12" spans="1:6" x14ac:dyDescent="0.7">
      <c r="A12" s="18">
        <v>18</v>
      </c>
      <c r="B12" s="18">
        <v>17.600000000000001</v>
      </c>
    </row>
    <row r="13" spans="1:6" x14ac:dyDescent="0.7">
      <c r="A13" s="19">
        <v>17.899999999999999</v>
      </c>
      <c r="B13" s="19">
        <v>17.7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106E-9E19-4047-9951-8BD1B22810FF}">
  <dimension ref="A1:I13"/>
  <sheetViews>
    <sheetView workbookViewId="0">
      <selection activeCell="E10" sqref="E10"/>
    </sheetView>
  </sheetViews>
  <sheetFormatPr defaultRowHeight="17.649999999999999" x14ac:dyDescent="0.7"/>
  <cols>
    <col min="4" max="4" width="9" customWidth="1"/>
  </cols>
  <sheetData>
    <row r="1" spans="1:9" x14ac:dyDescent="0.7">
      <c r="A1" s="2" t="s">
        <v>13</v>
      </c>
      <c r="B1" s="2"/>
      <c r="C1" s="2"/>
      <c r="D1" s="2"/>
      <c r="E1" s="2"/>
      <c r="F1" s="12"/>
      <c r="H1" s="9" t="s">
        <v>24</v>
      </c>
      <c r="I1" s="9"/>
    </row>
    <row r="3" spans="1:9" ht="19.149999999999999" x14ac:dyDescent="0.7">
      <c r="A3" s="4" t="s">
        <v>14</v>
      </c>
      <c r="B3" s="4" t="s">
        <v>15</v>
      </c>
      <c r="D3" s="6" t="s">
        <v>1</v>
      </c>
      <c r="E3" s="6"/>
      <c r="F3" s="27"/>
      <c r="H3" s="23" t="s">
        <v>23</v>
      </c>
      <c r="I3" s="24">
        <f>E7/F7</f>
        <v>0.28084112149532692</v>
      </c>
    </row>
    <row r="4" spans="1:9" x14ac:dyDescent="0.7">
      <c r="A4" s="18">
        <v>17.7</v>
      </c>
      <c r="B4" s="18">
        <v>18.399999999999999</v>
      </c>
      <c r="D4" s="22"/>
      <c r="E4" s="13" t="s">
        <v>14</v>
      </c>
      <c r="F4" s="13" t="s">
        <v>15</v>
      </c>
      <c r="H4" s="8" t="s">
        <v>2</v>
      </c>
      <c r="I4" s="5">
        <f>_xlfn.F.DIST(I3,E5-1,F5-1,TRUE)</f>
        <v>3.6140519387345874E-2</v>
      </c>
    </row>
    <row r="5" spans="1:9" ht="19.149999999999999" x14ac:dyDescent="0.7">
      <c r="A5" s="18">
        <v>17.7</v>
      </c>
      <c r="B5" s="18">
        <v>18.600000000000001</v>
      </c>
      <c r="D5" s="3" t="s">
        <v>22</v>
      </c>
      <c r="E5">
        <f>COUNT(A4:A13)</f>
        <v>10</v>
      </c>
      <c r="F5">
        <f>COUNT(B4:B13)</f>
        <v>10</v>
      </c>
    </row>
    <row r="6" spans="1:9" x14ac:dyDescent="0.7">
      <c r="A6" s="18">
        <v>17.8</v>
      </c>
      <c r="B6" s="18">
        <v>17.3</v>
      </c>
      <c r="D6" s="3" t="s">
        <v>3</v>
      </c>
      <c r="E6" s="25">
        <f>AVERAGE(A4:A13)</f>
        <v>17.970000000000002</v>
      </c>
      <c r="F6" s="25">
        <f>AVERAGE(B4:B13)</f>
        <v>17.899999999999999</v>
      </c>
    </row>
    <row r="7" spans="1:9" ht="19.149999999999999" x14ac:dyDescent="0.7">
      <c r="A7" s="18">
        <v>18.2</v>
      </c>
      <c r="B7" s="18">
        <v>17.399999999999999</v>
      </c>
      <c r="D7" s="8" t="s">
        <v>20</v>
      </c>
      <c r="E7" s="7">
        <f>_xlfn.VAR.S(A4:A13)</f>
        <v>6.6777777777777783E-2</v>
      </c>
      <c r="F7" s="7">
        <f>_xlfn.VAR.S(B4:B13)</f>
        <v>0.23777777777777798</v>
      </c>
    </row>
    <row r="8" spans="1:9" x14ac:dyDescent="0.7">
      <c r="A8" s="18">
        <v>18.399999999999999</v>
      </c>
      <c r="B8" s="18">
        <v>18</v>
      </c>
    </row>
    <row r="9" spans="1:9" x14ac:dyDescent="0.7">
      <c r="A9" s="18">
        <v>18</v>
      </c>
      <c r="B9" s="18">
        <v>17.399999999999999</v>
      </c>
      <c r="D9" s="6" t="s">
        <v>16</v>
      </c>
      <c r="E9" s="6"/>
    </row>
    <row r="10" spans="1:9" x14ac:dyDescent="0.7">
      <c r="A10" s="18">
        <v>17.7</v>
      </c>
      <c r="B10" s="18">
        <v>18.5</v>
      </c>
      <c r="D10" s="20" t="s">
        <v>2</v>
      </c>
      <c r="E10" s="21">
        <f>_xlfn.F.TEST(A4:A13,B4:B13)/2</f>
        <v>3.6140519387345929E-2</v>
      </c>
    </row>
    <row r="11" spans="1:9" x14ac:dyDescent="0.7">
      <c r="A11" s="18">
        <v>18.3</v>
      </c>
      <c r="B11" s="18">
        <v>18.100000000000001</v>
      </c>
    </row>
    <row r="12" spans="1:9" x14ac:dyDescent="0.7">
      <c r="A12" s="18">
        <v>18</v>
      </c>
      <c r="B12" s="18">
        <v>17.600000000000001</v>
      </c>
    </row>
    <row r="13" spans="1:9" x14ac:dyDescent="0.7">
      <c r="A13" s="19">
        <v>17.899999999999999</v>
      </c>
      <c r="B13" s="19">
        <v>17.7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7C14-466F-4F94-AAC7-D08B4FDE8AD6}">
  <dimension ref="A1:F13"/>
  <sheetViews>
    <sheetView workbookViewId="0">
      <selection activeCell="E7" sqref="E7"/>
    </sheetView>
  </sheetViews>
  <sheetFormatPr defaultRowHeight="17.649999999999999" x14ac:dyDescent="0.7"/>
  <cols>
    <col min="4" max="4" width="9" customWidth="1"/>
  </cols>
  <sheetData>
    <row r="1" spans="1:6" x14ac:dyDescent="0.7">
      <c r="A1" s="2" t="s">
        <v>18</v>
      </c>
      <c r="B1" s="2"/>
      <c r="C1" s="2"/>
      <c r="D1" s="2"/>
      <c r="E1" s="2"/>
      <c r="F1" s="12"/>
    </row>
    <row r="3" spans="1:6" x14ac:dyDescent="0.7">
      <c r="A3" s="4" t="s">
        <v>14</v>
      </c>
      <c r="B3" s="4" t="s">
        <v>15</v>
      </c>
      <c r="D3" s="6" t="s">
        <v>1</v>
      </c>
      <c r="E3" s="6"/>
      <c r="F3" s="27"/>
    </row>
    <row r="4" spans="1:6" x14ac:dyDescent="0.7">
      <c r="A4" s="18">
        <v>17.7</v>
      </c>
      <c r="B4" s="18">
        <v>18.399999999999999</v>
      </c>
      <c r="D4" s="22"/>
      <c r="E4" s="13" t="s">
        <v>14</v>
      </c>
      <c r="F4" s="13" t="s">
        <v>15</v>
      </c>
    </row>
    <row r="5" spans="1:6" ht="19.149999999999999" x14ac:dyDescent="0.7">
      <c r="A5" s="18">
        <v>17.7</v>
      </c>
      <c r="B5" s="18">
        <v>18.600000000000001</v>
      </c>
      <c r="D5" s="3" t="s">
        <v>22</v>
      </c>
      <c r="E5">
        <f>COUNT(A4:A13)</f>
        <v>10</v>
      </c>
      <c r="F5">
        <f>COUNT(B4:B13)</f>
        <v>10</v>
      </c>
    </row>
    <row r="6" spans="1:6" x14ac:dyDescent="0.7">
      <c r="A6" s="18">
        <v>17.8</v>
      </c>
      <c r="B6" s="18">
        <v>17.3</v>
      </c>
      <c r="D6" s="3" t="s">
        <v>17</v>
      </c>
      <c r="E6">
        <v>18</v>
      </c>
      <c r="F6">
        <f>E6</f>
        <v>18</v>
      </c>
    </row>
    <row r="7" spans="1:6" ht="19.149999999999999" x14ac:dyDescent="0.7">
      <c r="A7" s="18">
        <v>18.2</v>
      </c>
      <c r="B7" s="18">
        <v>17.399999999999999</v>
      </c>
      <c r="D7" s="8" t="s">
        <v>21</v>
      </c>
      <c r="E7" s="5"/>
      <c r="F7" s="5"/>
    </row>
    <row r="8" spans="1:6" x14ac:dyDescent="0.7">
      <c r="A8" s="18">
        <v>18.399999999999999</v>
      </c>
      <c r="B8" s="18">
        <v>18</v>
      </c>
    </row>
    <row r="9" spans="1:6" x14ac:dyDescent="0.7">
      <c r="A9" s="18">
        <v>18</v>
      </c>
      <c r="B9" s="18">
        <v>17.399999999999999</v>
      </c>
      <c r="D9" s="6" t="s">
        <v>16</v>
      </c>
      <c r="E9" s="6"/>
    </row>
    <row r="10" spans="1:6" ht="19.149999999999999" x14ac:dyDescent="0.7">
      <c r="A10" s="18">
        <v>17.7</v>
      </c>
      <c r="B10" s="18">
        <v>18.5</v>
      </c>
      <c r="D10" s="3" t="s">
        <v>19</v>
      </c>
    </row>
    <row r="11" spans="1:6" x14ac:dyDescent="0.7">
      <c r="A11" s="18">
        <v>18.3</v>
      </c>
      <c r="B11" s="18">
        <v>18.100000000000001</v>
      </c>
      <c r="D11" s="8" t="s">
        <v>2</v>
      </c>
      <c r="E11" s="5"/>
    </row>
    <row r="12" spans="1:6" x14ac:dyDescent="0.7">
      <c r="A12" s="18">
        <v>18</v>
      </c>
      <c r="B12" s="18">
        <v>17.600000000000001</v>
      </c>
    </row>
    <row r="13" spans="1:6" x14ac:dyDescent="0.7">
      <c r="A13" s="19">
        <v>17.899999999999999</v>
      </c>
      <c r="B13" s="19">
        <v>17.7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069C-B4C7-49A9-9C15-67300C3DFE78}">
  <dimension ref="A1:F13"/>
  <sheetViews>
    <sheetView workbookViewId="0">
      <selection activeCell="E7" sqref="E7"/>
    </sheetView>
  </sheetViews>
  <sheetFormatPr defaultRowHeight="17.649999999999999" x14ac:dyDescent="0.7"/>
  <cols>
    <col min="4" max="4" width="9" customWidth="1"/>
  </cols>
  <sheetData>
    <row r="1" spans="1:6" x14ac:dyDescent="0.7">
      <c r="A1" s="2" t="s">
        <v>18</v>
      </c>
      <c r="B1" s="2"/>
      <c r="C1" s="2"/>
      <c r="D1" s="2"/>
      <c r="E1" s="2"/>
      <c r="F1" s="12"/>
    </row>
    <row r="3" spans="1:6" x14ac:dyDescent="0.7">
      <c r="A3" s="4" t="s">
        <v>14</v>
      </c>
      <c r="B3" s="4" t="s">
        <v>15</v>
      </c>
      <c r="D3" s="6" t="s">
        <v>1</v>
      </c>
      <c r="E3" s="6"/>
      <c r="F3" s="27"/>
    </row>
    <row r="4" spans="1:6" x14ac:dyDescent="0.7">
      <c r="A4" s="18">
        <v>17.7</v>
      </c>
      <c r="B4" s="18">
        <v>18.399999999999999</v>
      </c>
      <c r="D4" s="22"/>
      <c r="E4" s="13" t="s">
        <v>14</v>
      </c>
      <c r="F4" s="13" t="s">
        <v>15</v>
      </c>
    </row>
    <row r="5" spans="1:6" ht="19.149999999999999" x14ac:dyDescent="0.7">
      <c r="A5" s="18">
        <v>17.7</v>
      </c>
      <c r="B5" s="18">
        <v>18.600000000000001</v>
      </c>
      <c r="D5" s="3" t="s">
        <v>22</v>
      </c>
      <c r="E5">
        <f>COUNT(A4:A13)</f>
        <v>10</v>
      </c>
      <c r="F5">
        <f>COUNT(B4:B13)</f>
        <v>10</v>
      </c>
    </row>
    <row r="6" spans="1:6" x14ac:dyDescent="0.7">
      <c r="A6" s="18">
        <v>17.8</v>
      </c>
      <c r="B6" s="18">
        <v>17.3</v>
      </c>
      <c r="D6" s="3" t="s">
        <v>17</v>
      </c>
      <c r="E6">
        <v>18</v>
      </c>
      <c r="F6">
        <f>E6</f>
        <v>18</v>
      </c>
    </row>
    <row r="7" spans="1:6" ht="19.149999999999999" x14ac:dyDescent="0.7">
      <c r="A7" s="18">
        <v>18.2</v>
      </c>
      <c r="B7" s="18">
        <v>17.399999999999999</v>
      </c>
      <c r="D7" s="8" t="s">
        <v>21</v>
      </c>
      <c r="E7" s="5" cm="1">
        <f t="array" ref="E7">SUM((A4:A13-E6)^2)/E5</f>
        <v>6.1000000000000019E-2</v>
      </c>
      <c r="F7" s="5" cm="1">
        <f t="array" ref="F7">SUM((B4:B13-F6)^2)/F5</f>
        <v>0.22400000000000025</v>
      </c>
    </row>
    <row r="8" spans="1:6" x14ac:dyDescent="0.7">
      <c r="A8" s="18">
        <v>18.399999999999999</v>
      </c>
      <c r="B8" s="18">
        <v>18</v>
      </c>
    </row>
    <row r="9" spans="1:6" x14ac:dyDescent="0.7">
      <c r="A9" s="18">
        <v>18</v>
      </c>
      <c r="B9" s="18">
        <v>17.399999999999999</v>
      </c>
      <c r="D9" s="6" t="s">
        <v>16</v>
      </c>
      <c r="E9" s="6"/>
    </row>
    <row r="10" spans="1:6" ht="19.149999999999999" x14ac:dyDescent="0.7">
      <c r="A10" s="18">
        <v>17.7</v>
      </c>
      <c r="B10" s="18">
        <v>18.5</v>
      </c>
      <c r="D10" s="3" t="s">
        <v>19</v>
      </c>
      <c r="E10">
        <f>E7/F7</f>
        <v>0.27232142857142833</v>
      </c>
    </row>
    <row r="11" spans="1:6" x14ac:dyDescent="0.7">
      <c r="A11" s="18">
        <v>18.3</v>
      </c>
      <c r="B11" s="18">
        <v>18.100000000000001</v>
      </c>
      <c r="D11" s="8" t="s">
        <v>2</v>
      </c>
      <c r="E11" s="5">
        <f>_xlfn.F.DIST(E10,E5,F5,TRUE)</f>
        <v>2.6008459364147252E-2</v>
      </c>
    </row>
    <row r="12" spans="1:6" x14ac:dyDescent="0.7">
      <c r="A12" s="18">
        <v>18</v>
      </c>
      <c r="B12" s="18">
        <v>17.600000000000001</v>
      </c>
    </row>
    <row r="13" spans="1:6" x14ac:dyDescent="0.7">
      <c r="A13" s="19">
        <v>17.899999999999999</v>
      </c>
      <c r="B13" s="19">
        <v>17.7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9236-3C8E-43C1-B4FE-737A742117BE}">
  <sheetPr>
    <tabColor theme="8" tint="0.79998168889431442"/>
  </sheetPr>
  <dimension ref="A1:A6"/>
  <sheetViews>
    <sheetView workbookViewId="0"/>
  </sheetViews>
  <sheetFormatPr defaultRowHeight="17.649999999999999" x14ac:dyDescent="0.7"/>
  <sheetData>
    <row r="1" spans="1:1" ht="17.350000000000001" customHeight="1" x14ac:dyDescent="0.7">
      <c r="A1" s="16"/>
    </row>
    <row r="2" spans="1:1" ht="17.350000000000001" customHeight="1" x14ac:dyDescent="0.7">
      <c r="A2" s="17"/>
    </row>
    <row r="3" spans="1:1" ht="17.350000000000001" customHeight="1" x14ac:dyDescent="0.7">
      <c r="A3" s="17"/>
    </row>
    <row r="4" spans="1:1" ht="17.350000000000001" customHeight="1" x14ac:dyDescent="0.7"/>
    <row r="5" spans="1:1" ht="17.350000000000001" customHeight="1" x14ac:dyDescent="0.7"/>
    <row r="6" spans="1:1" ht="17.649999999999999" customHeight="1" x14ac:dyDescent="0.7"/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07E3-D0F2-4FEC-AA5D-8445AB738AB7}">
  <dimension ref="A1:L25"/>
  <sheetViews>
    <sheetView workbookViewId="0">
      <selection activeCell="J25" sqref="J25"/>
    </sheetView>
  </sheetViews>
  <sheetFormatPr defaultRowHeight="17.649999999999999" x14ac:dyDescent="0.7"/>
  <cols>
    <col min="4" max="4" width="9" customWidth="1"/>
    <col min="8" max="8" width="9" customWidth="1"/>
    <col min="11" max="11" width="9.4375" bestFit="1" customWidth="1"/>
  </cols>
  <sheetData>
    <row r="1" spans="1:12" x14ac:dyDescent="0.7">
      <c r="A1" s="9" t="s">
        <v>37</v>
      </c>
      <c r="B1" s="9"/>
      <c r="C1" s="9"/>
      <c r="D1" s="9"/>
      <c r="E1" s="9"/>
      <c r="F1" s="41"/>
      <c r="G1" s="41"/>
      <c r="I1" s="9" t="s">
        <v>27</v>
      </c>
      <c r="J1" s="9"/>
    </row>
    <row r="3" spans="1:12" x14ac:dyDescent="0.7">
      <c r="A3" s="4" t="s">
        <v>14</v>
      </c>
      <c r="B3" s="4" t="s">
        <v>15</v>
      </c>
      <c r="D3" s="6" t="s">
        <v>1</v>
      </c>
      <c r="E3" s="6"/>
      <c r="F3" s="27"/>
      <c r="G3" s="27"/>
      <c r="I3" s="13" t="s">
        <v>14</v>
      </c>
      <c r="J3" s="13" t="s">
        <v>15</v>
      </c>
      <c r="K3" s="13" t="s">
        <v>26</v>
      </c>
    </row>
    <row r="4" spans="1:12" x14ac:dyDescent="0.7">
      <c r="A4" s="18">
        <v>17.7</v>
      </c>
      <c r="B4" s="18">
        <v>18.399999999999999</v>
      </c>
      <c r="D4" s="22"/>
      <c r="E4" s="13" t="s">
        <v>14</v>
      </c>
      <c r="F4" s="13" t="s">
        <v>15</v>
      </c>
      <c r="G4" s="13" t="s">
        <v>26</v>
      </c>
      <c r="I4" cm="1">
        <f t="array" ref="I4:I13">ABS(A4:A13-E6)</f>
        <v>0.25</v>
      </c>
      <c r="J4" cm="1">
        <f t="array" ref="J4:J13">ABS(B4:B13-F6)</f>
        <v>0.54999999999999716</v>
      </c>
    </row>
    <row r="5" spans="1:12" ht="19.149999999999999" x14ac:dyDescent="0.7">
      <c r="A5" s="18">
        <v>17.7</v>
      </c>
      <c r="B5" s="18">
        <v>18.600000000000001</v>
      </c>
      <c r="D5" s="3" t="s">
        <v>34</v>
      </c>
      <c r="E5">
        <f>COUNT(A4:A13)</f>
        <v>10</v>
      </c>
      <c r="F5">
        <f>COUNT(B4:B13)</f>
        <v>10</v>
      </c>
      <c r="G5">
        <f>SUM(E5:F5)</f>
        <v>20</v>
      </c>
      <c r="I5">
        <v>0.25</v>
      </c>
      <c r="J5">
        <v>0.75</v>
      </c>
    </row>
    <row r="6" spans="1:12" x14ac:dyDescent="0.7">
      <c r="A6" s="18">
        <v>17.8</v>
      </c>
      <c r="B6" s="18">
        <v>17.3</v>
      </c>
      <c r="D6" s="8" t="s">
        <v>25</v>
      </c>
      <c r="E6" s="7">
        <f>MEDIAN(A4:A13)</f>
        <v>17.95</v>
      </c>
      <c r="F6" s="7">
        <f>MEDIAN(B4:B13)</f>
        <v>17.850000000000001</v>
      </c>
      <c r="G6" s="28">
        <f>MEDIAN(A4:B13)</f>
        <v>17.95</v>
      </c>
      <c r="I6">
        <v>0.14999999999999858</v>
      </c>
      <c r="J6">
        <v>0.55000000000000071</v>
      </c>
    </row>
    <row r="7" spans="1:12" x14ac:dyDescent="0.7">
      <c r="A7" s="18">
        <v>18.2</v>
      </c>
      <c r="B7" s="18">
        <v>17.399999999999999</v>
      </c>
      <c r="I7">
        <v>0.25</v>
      </c>
      <c r="J7">
        <v>0.45000000000000284</v>
      </c>
    </row>
    <row r="8" spans="1:12" x14ac:dyDescent="0.7">
      <c r="A8" s="18">
        <v>18.399999999999999</v>
      </c>
      <c r="B8" s="18">
        <v>18</v>
      </c>
      <c r="I8">
        <v>0.44999999999999929</v>
      </c>
      <c r="J8">
        <v>0.14999999999999858</v>
      </c>
    </row>
    <row r="9" spans="1:12" x14ac:dyDescent="0.7">
      <c r="A9" s="18">
        <v>18</v>
      </c>
      <c r="B9" s="18">
        <v>17.399999999999999</v>
      </c>
      <c r="I9">
        <v>5.0000000000000711E-2</v>
      </c>
      <c r="J9">
        <v>0.45000000000000284</v>
      </c>
    </row>
    <row r="10" spans="1:12" x14ac:dyDescent="0.7">
      <c r="A10" s="18">
        <v>17.7</v>
      </c>
      <c r="B10" s="18">
        <v>18.5</v>
      </c>
      <c r="I10">
        <v>0.25</v>
      </c>
      <c r="J10">
        <v>0.64999999999999858</v>
      </c>
    </row>
    <row r="11" spans="1:12" x14ac:dyDescent="0.7">
      <c r="A11" s="18">
        <v>18.3</v>
      </c>
      <c r="B11" s="18">
        <v>18.100000000000001</v>
      </c>
      <c r="I11">
        <v>0.35000000000000142</v>
      </c>
      <c r="J11">
        <v>0.25</v>
      </c>
    </row>
    <row r="12" spans="1:12" x14ac:dyDescent="0.7">
      <c r="A12" s="18">
        <v>18</v>
      </c>
      <c r="B12" s="18">
        <v>17.600000000000001</v>
      </c>
      <c r="I12">
        <v>5.0000000000000711E-2</v>
      </c>
      <c r="J12">
        <v>0.25</v>
      </c>
    </row>
    <row r="13" spans="1:12" x14ac:dyDescent="0.7">
      <c r="A13" s="19">
        <v>17.899999999999999</v>
      </c>
      <c r="B13" s="19">
        <v>17.7</v>
      </c>
      <c r="I13" s="5">
        <v>5.0000000000000711E-2</v>
      </c>
      <c r="J13" s="5">
        <v>0.15000000000000213</v>
      </c>
      <c r="K13" s="5"/>
    </row>
    <row r="14" spans="1:12" x14ac:dyDescent="0.7">
      <c r="I14" s="5">
        <f>AVERAGE(I4:I13)</f>
        <v>0.21000000000000013</v>
      </c>
      <c r="J14" s="5">
        <f>AVERAGE(J4:J13)</f>
        <v>0.42000000000000026</v>
      </c>
      <c r="K14" s="5">
        <f>AVERAGE(I4:J13)</f>
        <v>0.31500000000000022</v>
      </c>
      <c r="L14" s="29" t="s">
        <v>30</v>
      </c>
    </row>
    <row r="16" spans="1:12" x14ac:dyDescent="0.7">
      <c r="I16" s="13" t="s">
        <v>14</v>
      </c>
      <c r="J16" s="13" t="s">
        <v>15</v>
      </c>
      <c r="K16" s="13" t="s">
        <v>36</v>
      </c>
      <c r="L16" s="5"/>
    </row>
    <row r="17" spans="9:12" x14ac:dyDescent="0.7">
      <c r="I17">
        <f>E5*SUM((I14-K14)^2)</f>
        <v>0.1102500000000002</v>
      </c>
      <c r="J17">
        <f>F5*SUM((J14-K14)^2)</f>
        <v>0.11025000000000008</v>
      </c>
      <c r="K17">
        <f>SUM(I17:J17)</f>
        <v>0.22050000000000028</v>
      </c>
      <c r="L17" s="30" t="s">
        <v>31</v>
      </c>
    </row>
    <row r="18" spans="9:12" x14ac:dyDescent="0.7">
      <c r="I18" s="5" cm="1">
        <f t="array" ref="I18">SUM((I4:I13-I14)^2)</f>
        <v>0.16399999999999956</v>
      </c>
      <c r="J18" s="5" cm="1">
        <f t="array" ref="J18">SUM((J4:J13-J14)^2)</f>
        <v>0.40099999999999869</v>
      </c>
      <c r="K18" s="5">
        <f>SUM(I18:J18)</f>
        <v>0.56499999999999828</v>
      </c>
      <c r="L18" s="32" t="s">
        <v>32</v>
      </c>
    </row>
    <row r="20" spans="9:12" x14ac:dyDescent="0.7">
      <c r="I20" s="31" t="s">
        <v>35</v>
      </c>
      <c r="J20" s="24">
        <f>COUNTA(A3:B3)</f>
        <v>2</v>
      </c>
    </row>
    <row r="21" spans="9:12" x14ac:dyDescent="0.7">
      <c r="I21" s="30" t="s">
        <v>28</v>
      </c>
      <c r="J21">
        <f>G5-J20</f>
        <v>18</v>
      </c>
    </row>
    <row r="22" spans="9:12" x14ac:dyDescent="0.7">
      <c r="I22" s="32" t="s">
        <v>29</v>
      </c>
      <c r="J22" s="5">
        <f>J20-1</f>
        <v>1</v>
      </c>
    </row>
    <row r="24" spans="9:12" x14ac:dyDescent="0.7">
      <c r="I24" s="33" t="s">
        <v>33</v>
      </c>
      <c r="J24" s="24">
        <f>J21/J22*K17/K18</f>
        <v>7.0247787610619774</v>
      </c>
    </row>
    <row r="25" spans="9:12" x14ac:dyDescent="0.7">
      <c r="I25" s="34" t="s">
        <v>2</v>
      </c>
      <c r="J25" s="5">
        <f>_xlfn.F.DIST.RT(J24,1,18)</f>
        <v>1.6274088908213954E-2</v>
      </c>
      <c r="K25" s="26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D4BB-8B0B-4D6E-871F-C8DECC5FB6D8}">
  <dimension ref="A1:I8"/>
  <sheetViews>
    <sheetView workbookViewId="0">
      <selection activeCell="H6" sqref="H6"/>
    </sheetView>
  </sheetViews>
  <sheetFormatPr defaultRowHeight="17.649999999999999" x14ac:dyDescent="0.7"/>
  <cols>
    <col min="4" max="4" width="12" customWidth="1"/>
  </cols>
  <sheetData>
    <row r="1" spans="1:9" x14ac:dyDescent="0.7">
      <c r="A1" s="14" t="s">
        <v>39</v>
      </c>
      <c r="B1" s="15"/>
      <c r="C1" s="15"/>
      <c r="D1" s="15"/>
      <c r="E1" s="15"/>
      <c r="F1" s="15"/>
      <c r="G1" s="15"/>
      <c r="H1" s="15"/>
    </row>
    <row r="3" spans="1:9" x14ac:dyDescent="0.7">
      <c r="A3" s="13" t="s">
        <v>4</v>
      </c>
      <c r="B3" s="13" t="s">
        <v>5</v>
      </c>
      <c r="D3" s="10" t="s">
        <v>4</v>
      </c>
      <c r="E3" s="10" t="s">
        <v>5</v>
      </c>
      <c r="G3" s="4" t="s">
        <v>4</v>
      </c>
      <c r="H3" s="4" t="s">
        <v>5</v>
      </c>
    </row>
    <row r="4" spans="1:9" ht="19.149999999999999" x14ac:dyDescent="0.7">
      <c r="A4" s="3" t="s">
        <v>12</v>
      </c>
      <c r="B4">
        <v>0.06</v>
      </c>
      <c r="D4" s="3" t="s">
        <v>11</v>
      </c>
      <c r="E4" s="1">
        <f>B4/B5</f>
        <v>0.3</v>
      </c>
      <c r="G4" s="3" t="s">
        <v>6</v>
      </c>
      <c r="H4" s="11">
        <f>_xlfn.NORM.S.INV(1-E5)</f>
        <v>1.6448536269514715</v>
      </c>
      <c r="I4" t="s">
        <v>7</v>
      </c>
    </row>
    <row r="5" spans="1:9" ht="19.149999999999999" x14ac:dyDescent="0.7">
      <c r="A5" s="8" t="s">
        <v>38</v>
      </c>
      <c r="B5" s="5">
        <v>0.2</v>
      </c>
      <c r="D5" s="3" t="s">
        <v>8</v>
      </c>
      <c r="E5">
        <v>0.05</v>
      </c>
      <c r="G5" s="3" t="s">
        <v>9</v>
      </c>
      <c r="H5" s="11">
        <f>_xlfn.NORM.S.INV(E6)</f>
        <v>0.84162123357291474</v>
      </c>
    </row>
    <row r="6" spans="1:9" x14ac:dyDescent="0.7">
      <c r="D6" s="8" t="s">
        <v>10</v>
      </c>
      <c r="E6" s="5">
        <v>0.8</v>
      </c>
      <c r="G6" s="8" t="s">
        <v>0</v>
      </c>
      <c r="H6" s="5">
        <f>ROUNDUP((2*(H4+H5))^2/LN(E4)^2,0)+1</f>
        <v>19</v>
      </c>
    </row>
    <row r="7" spans="1:9" x14ac:dyDescent="0.7">
      <c r="B7" s="11"/>
    </row>
    <row r="8" spans="1:9" x14ac:dyDescent="0.7">
      <c r="G8" s="3"/>
      <c r="H8" s="11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5F89-FED2-4B4F-9890-C329C46D6077}">
  <dimension ref="A1:I6"/>
  <sheetViews>
    <sheetView workbookViewId="0">
      <selection activeCell="H6" sqref="H6"/>
    </sheetView>
  </sheetViews>
  <sheetFormatPr defaultRowHeight="17.649999999999999" x14ac:dyDescent="0.7"/>
  <cols>
    <col min="4" max="4" width="12" customWidth="1"/>
  </cols>
  <sheetData>
    <row r="1" spans="1:9" x14ac:dyDescent="0.7">
      <c r="A1" s="14" t="s">
        <v>40</v>
      </c>
      <c r="B1" s="15"/>
      <c r="C1" s="15"/>
      <c r="D1" s="15"/>
      <c r="E1" s="15"/>
      <c r="F1" s="15"/>
      <c r="G1" s="15"/>
      <c r="H1" s="15"/>
    </row>
    <row r="3" spans="1:9" x14ac:dyDescent="0.7">
      <c r="A3" s="13" t="s">
        <v>4</v>
      </c>
      <c r="B3" s="13" t="s">
        <v>5</v>
      </c>
      <c r="D3" s="10" t="s">
        <v>4</v>
      </c>
      <c r="E3" s="10" t="s">
        <v>5</v>
      </c>
      <c r="G3" s="4" t="s">
        <v>4</v>
      </c>
      <c r="H3" s="4" t="s">
        <v>5</v>
      </c>
    </row>
    <row r="4" spans="1:9" ht="19.149999999999999" x14ac:dyDescent="0.7">
      <c r="A4" s="3" t="s">
        <v>12</v>
      </c>
      <c r="B4">
        <v>0.06</v>
      </c>
      <c r="D4" s="3" t="s">
        <v>11</v>
      </c>
      <c r="E4" s="1">
        <f>B4/B5</f>
        <v>0.3</v>
      </c>
      <c r="G4" s="3" t="s">
        <v>6</v>
      </c>
      <c r="H4" s="11">
        <f>_xlfn.NORM.S.INV(1-E5)</f>
        <v>1.6448536269514715</v>
      </c>
      <c r="I4" t="s">
        <v>7</v>
      </c>
    </row>
    <row r="5" spans="1:9" ht="19.149999999999999" x14ac:dyDescent="0.7">
      <c r="A5" s="8" t="s">
        <v>38</v>
      </c>
      <c r="B5" s="5">
        <v>0.2</v>
      </c>
      <c r="D5" s="3" t="s">
        <v>8</v>
      </c>
      <c r="E5">
        <v>0.05</v>
      </c>
      <c r="G5" s="3" t="s">
        <v>9</v>
      </c>
      <c r="H5" s="11">
        <f>_xlfn.NORM.S.INV(E6)</f>
        <v>0.84162123357291474</v>
      </c>
    </row>
    <row r="6" spans="1:9" x14ac:dyDescent="0.7">
      <c r="D6" s="8" t="s">
        <v>10</v>
      </c>
      <c r="E6" s="5">
        <v>0.8</v>
      </c>
      <c r="G6" s="8" t="s">
        <v>0</v>
      </c>
      <c r="H6" s="5">
        <f>ROUNDUP((2*(H4+H5))^2/LN(E4)^2,0)</f>
        <v>18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6CF5-84A9-443D-9274-37DB8C372D2D}">
  <dimension ref="A1:F14"/>
  <sheetViews>
    <sheetView workbookViewId="0">
      <selection activeCell="B4" sqref="B4"/>
    </sheetView>
  </sheetViews>
  <sheetFormatPr defaultRowHeight="17.649999999999999" x14ac:dyDescent="0.7"/>
  <sheetData>
    <row r="1" spans="1:6" ht="19.149999999999999" x14ac:dyDescent="0.7">
      <c r="A1" s="36" t="s">
        <v>44</v>
      </c>
      <c r="B1" s="37"/>
      <c r="C1" s="37"/>
      <c r="D1" s="37"/>
    </row>
    <row r="3" spans="1:6" ht="18" thickBot="1" x14ac:dyDescent="0.75">
      <c r="A3" s="33" t="s">
        <v>41</v>
      </c>
      <c r="B3" s="24">
        <v>2</v>
      </c>
      <c r="C3" s="33" t="s">
        <v>42</v>
      </c>
      <c r="D3" s="24">
        <v>0.05</v>
      </c>
    </row>
    <row r="4" spans="1:6" ht="19.5" thickBot="1" x14ac:dyDescent="0.75">
      <c r="A4" s="39" t="s">
        <v>47</v>
      </c>
      <c r="B4" s="40">
        <v>2</v>
      </c>
      <c r="C4" s="34" t="s">
        <v>43</v>
      </c>
      <c r="D4" s="5">
        <v>0.8</v>
      </c>
    </row>
    <row r="5" spans="1:6" ht="19.149999999999999" x14ac:dyDescent="0.7">
      <c r="A5" s="38" t="s">
        <v>48</v>
      </c>
      <c r="B5">
        <f>B3*B4</f>
        <v>4</v>
      </c>
    </row>
    <row r="6" spans="1:6" x14ac:dyDescent="0.7">
      <c r="A6" s="34" t="s">
        <v>35</v>
      </c>
      <c r="B6" s="5">
        <v>0.3</v>
      </c>
    </row>
    <row r="7" spans="1:6" x14ac:dyDescent="0.7">
      <c r="F7" s="35"/>
    </row>
    <row r="8" spans="1:6" x14ac:dyDescent="0.7">
      <c r="A8" s="13" t="s">
        <v>45</v>
      </c>
      <c r="B8" s="21">
        <f>2/(B4-1)+2/(B5-1)</f>
        <v>2.6666666666666665</v>
      </c>
      <c r="C8" s="13" t="s">
        <v>46</v>
      </c>
      <c r="D8" s="21">
        <f>(LN(B6)/(_xlfn.NORM.S.INV(1-D3)+_xlfn.NORM.S.INV(D4)))^2</f>
        <v>0.2344580824984791</v>
      </c>
      <c r="F8" s="35"/>
    </row>
    <row r="9" spans="1:6" x14ac:dyDescent="0.7">
      <c r="F9" s="35" t="s">
        <v>54</v>
      </c>
    </row>
    <row r="10" spans="1:6" x14ac:dyDescent="0.7">
      <c r="F10" t="s">
        <v>49</v>
      </c>
    </row>
    <row r="11" spans="1:6" x14ac:dyDescent="0.7">
      <c r="F11" t="s">
        <v>53</v>
      </c>
    </row>
    <row r="12" spans="1:6" x14ac:dyDescent="0.7">
      <c r="F12" t="s">
        <v>50</v>
      </c>
    </row>
    <row r="13" spans="1:6" x14ac:dyDescent="0.7">
      <c r="F13" t="s">
        <v>52</v>
      </c>
    </row>
    <row r="14" spans="1:6" x14ac:dyDescent="0.7">
      <c r="F14" t="s">
        <v>51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母分散の比の検定 (母平均が未知)</vt:lpstr>
      <vt:lpstr>母分散の比の検定 (母平均が未知・作成例)</vt:lpstr>
      <vt:lpstr>母分散の比の検定 (母平均が既知)</vt:lpstr>
      <vt:lpstr>母分散の比の検定 (母平均が既知・作成例)</vt:lpstr>
      <vt:lpstr>【以降は参考です】</vt:lpstr>
      <vt:lpstr>ブラウン・フォーサイス検定</vt:lpstr>
      <vt:lpstr>サンプルサイズ (母平均未知)</vt:lpstr>
      <vt:lpstr>サンプルサイズ (母平均既知)</vt:lpstr>
      <vt:lpstr>サンプルサイズ (ゴールシーク)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2025-09-24T00:13:22Z</dcterms:created>
  <dcterms:modified xsi:type="dcterms:W3CDTF">2025-10-13T08:58:55Z</dcterms:modified>
</cp:coreProperties>
</file>