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892E7965-7BA2-4772-9201-847CA5B08D45}" xr6:coauthVersionLast="47" xr6:coauthVersionMax="47" xr10:uidLastSave="{00000000-0000-0000-0000-000000000000}"/>
  <bookViews>
    <workbookView xWindow="7755" yWindow="2670" windowWidth="28185" windowHeight="15030" xr2:uid="{43A727E7-E0DD-4276-BE22-A0C497C034AF}"/>
  </bookViews>
  <sheets>
    <sheet name="無相関の検定" sheetId="1" r:id="rId1"/>
    <sheet name="無相関の検定 (作成例)" sheetId="12" r:id="rId2"/>
    <sheet name="サンプルサイズとP値" sheetId="10" r:id="rId3"/>
    <sheet name="サンプルサイズとP値 (作成例)" sheetId="15" r:id="rId4"/>
    <sheet name="サンプルサイズの見積もり" sheetId="11" r:id="rId5"/>
    <sheet name="サンプルサイズの見積もり (作成例)" sheetId="13" r:id="rId6"/>
  </sheets>
  <definedNames>
    <definedName name="RMSE">_xlfn.LAMBDA(_xlpm.a,_xlpm.b,_xlpm.x,_xlpm.y,SQRT(SUM(((_xlpm.a*_xlpm.x+_xlpm.b)-_xlpm.y)^2)/COUNT(_xlpm.y)))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5" l="1" a="1"/>
  <c r="A6" i="15" s="1"/>
  <c r="B9" i="13"/>
  <c r="B8" i="13"/>
  <c r="B7" i="13"/>
  <c r="L7" i="12"/>
  <c r="L8" i="12" s="1"/>
  <c r="L9" i="12" s="1"/>
  <c r="K4" i="12"/>
  <c r="B10" i="13" l="1"/>
  <c r="B6" i="15" a="1"/>
  <c r="B6" i="15" s="1"/>
  <c r="C6" i="15" l="1" a="1"/>
  <c r="C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<sst xmlns="http://schemas.openxmlformats.org/spreadsheetml/2006/main" count="556" uniqueCount="120">
  <si>
    <t>メーカー</t>
  </si>
  <si>
    <t>名称</t>
  </si>
  <si>
    <t>タイプ</t>
  </si>
  <si>
    <t>年式</t>
  </si>
  <si>
    <t>排気量（cc）</t>
  </si>
  <si>
    <t>ミッション</t>
  </si>
  <si>
    <t>車検</t>
  </si>
  <si>
    <t>本体価格（万円）</t>
  </si>
  <si>
    <t>スバル</t>
  </si>
  <si>
    <t>レガシィ</t>
  </si>
  <si>
    <t>セダン</t>
  </si>
  <si>
    <t>CVT</t>
  </si>
  <si>
    <t>令和2年4月</t>
  </si>
  <si>
    <t>マツダ</t>
  </si>
  <si>
    <t>CX-5</t>
  </si>
  <si>
    <t>SUV</t>
  </si>
  <si>
    <t>AT</t>
  </si>
  <si>
    <t>令和3年1月</t>
  </si>
  <si>
    <t>スズキ</t>
  </si>
  <si>
    <t>アルト</t>
  </si>
  <si>
    <t>コンパクト</t>
  </si>
  <si>
    <t>日産</t>
  </si>
  <si>
    <t>ティアナ</t>
  </si>
  <si>
    <t>令和2年8月</t>
  </si>
  <si>
    <t>CX-9</t>
  </si>
  <si>
    <t>令和2年11月</t>
  </si>
  <si>
    <t>トヨタ</t>
  </si>
  <si>
    <t>ハイエース</t>
  </si>
  <si>
    <t>バン</t>
  </si>
  <si>
    <t>車検切れ</t>
  </si>
  <si>
    <t>アルファロメオ</t>
  </si>
  <si>
    <t>ジュリアスプリント</t>
  </si>
  <si>
    <t>クーペ</t>
  </si>
  <si>
    <t>MT</t>
  </si>
  <si>
    <t>令和2年12月</t>
  </si>
  <si>
    <t>ポルシェ</t>
  </si>
  <si>
    <t>スポーツカー</t>
  </si>
  <si>
    <t>令和3年5月</t>
  </si>
  <si>
    <t>パッソ</t>
  </si>
  <si>
    <t>ロードスター</t>
  </si>
  <si>
    <t>令和2年1月</t>
  </si>
  <si>
    <t>バレーノ</t>
  </si>
  <si>
    <t>令和2年5月</t>
  </si>
  <si>
    <t>テスラ</t>
  </si>
  <si>
    <t>モデル3</t>
  </si>
  <si>
    <t>フォルクスワーゲン</t>
  </si>
  <si>
    <t>ティグアン</t>
  </si>
  <si>
    <t>デミオ</t>
  </si>
  <si>
    <t>ヴィッツ</t>
  </si>
  <si>
    <t>ハッチバック</t>
  </si>
  <si>
    <t>ホンダ</t>
  </si>
  <si>
    <t>フィット</t>
  </si>
  <si>
    <t>セントラ</t>
  </si>
  <si>
    <t>ソリオ</t>
  </si>
  <si>
    <t>ワゴン</t>
  </si>
  <si>
    <t>レヴォーグ</t>
  </si>
  <si>
    <t>令和2年10月</t>
  </si>
  <si>
    <t>ライフ</t>
  </si>
  <si>
    <t>ヴォクシー</t>
  </si>
  <si>
    <t>ミニバン</t>
  </si>
  <si>
    <t>インサイト</t>
  </si>
  <si>
    <t>ハイブリッド</t>
  </si>
  <si>
    <t>ノート</t>
  </si>
  <si>
    <t>ピクシスエポック</t>
  </si>
  <si>
    <t>アウディ</t>
  </si>
  <si>
    <t>A4</t>
  </si>
  <si>
    <t>プリウス</t>
  </si>
  <si>
    <t>シャトル</t>
  </si>
  <si>
    <t>フェアレディZ</t>
  </si>
  <si>
    <t>N-WGN</t>
  </si>
  <si>
    <t>令和3年3月</t>
  </si>
  <si>
    <t>BMW</t>
  </si>
  <si>
    <t>5シリーズ</t>
  </si>
  <si>
    <t>令和3年6月</t>
  </si>
  <si>
    <t>フィットハイブリッド</t>
  </si>
  <si>
    <t>令和2年6月</t>
  </si>
  <si>
    <t>ムラーノ</t>
  </si>
  <si>
    <t>令和3年4月</t>
  </si>
  <si>
    <t>MX-5</t>
  </si>
  <si>
    <t>セレナ</t>
  </si>
  <si>
    <t>令和2年7月</t>
  </si>
  <si>
    <t>ダイハツ</t>
  </si>
  <si>
    <t>ムーヴキャンバス</t>
  </si>
  <si>
    <t>ノア</t>
  </si>
  <si>
    <t>シビック</t>
  </si>
  <si>
    <t>A6</t>
  </si>
  <si>
    <t>ジャガー</t>
  </si>
  <si>
    <t>XE</t>
  </si>
  <si>
    <t>インプレッサXV</t>
  </si>
  <si>
    <t>N-BOXカスタム</t>
  </si>
  <si>
    <t>ヴェゼル</t>
  </si>
  <si>
    <t>スイフト</t>
  </si>
  <si>
    <t>令和2年9月</t>
  </si>
  <si>
    <t>ランドローバー</t>
  </si>
  <si>
    <t>ディスカバリー</t>
  </si>
  <si>
    <t>カイエン</t>
  </si>
  <si>
    <t>令和3年2月</t>
  </si>
  <si>
    <t>走行（km）</t>
    <phoneticPr fontId="1"/>
  </si>
  <si>
    <t>排気量と価格の相関</t>
    <rPh sb="0" eb="3">
      <t>ハイキリョウ</t>
    </rPh>
    <rPh sb="4" eb="6">
      <t>カカク</t>
    </rPh>
    <rPh sb="7" eb="9">
      <t>ソウカン</t>
    </rPh>
    <phoneticPr fontId="1"/>
  </si>
  <si>
    <t>相関係数</t>
    <rPh sb="0" eb="2">
      <t>ソウカン</t>
    </rPh>
    <rPh sb="2" eb="4">
      <t>ケイスウ</t>
    </rPh>
    <phoneticPr fontId="1"/>
  </si>
  <si>
    <t>n</t>
    <phoneticPr fontId="1"/>
  </si>
  <si>
    <t>P</t>
    <phoneticPr fontId="1"/>
  </si>
  <si>
    <t>サンプルサイズとP値</t>
    <rPh sb="9" eb="10">
      <t>チ</t>
    </rPh>
    <phoneticPr fontId="1"/>
  </si>
  <si>
    <t>P値</t>
    <rPh sb="1" eb="2">
      <t>チ</t>
    </rPh>
    <phoneticPr fontId="1"/>
  </si>
  <si>
    <t>T</t>
    <phoneticPr fontId="1"/>
  </si>
  <si>
    <t>無相関の検定</t>
    <rPh sb="0" eb="3">
      <t>ムソウカン</t>
    </rPh>
    <rPh sb="4" eb="6">
      <t>ケンテイ</t>
    </rPh>
    <phoneticPr fontId="1"/>
  </si>
  <si>
    <t>中古車データ（架空データ）</t>
    <rPh sb="0" eb="3">
      <t>チュウコシャ</t>
    </rPh>
    <rPh sb="7" eb="9">
      <t>カクウ</t>
    </rPh>
    <phoneticPr fontId="1"/>
  </si>
  <si>
    <t>サンプルサイズの見積もり</t>
    <rPh sb="8" eb="10">
      <t>ミツ</t>
    </rPh>
    <phoneticPr fontId="1"/>
  </si>
  <si>
    <t>相関係数r</t>
    <rPh sb="0" eb="2">
      <t>ソウカン</t>
    </rPh>
    <rPh sb="2" eb="4">
      <t>ケイスウ</t>
    </rPh>
    <phoneticPr fontId="1"/>
  </si>
  <si>
    <t>α</t>
    <phoneticPr fontId="1"/>
  </si>
  <si>
    <t>1-β</t>
    <phoneticPr fontId="1"/>
  </si>
  <si>
    <t>フィッシャー変換</t>
    <rPh sb="6" eb="8">
      <t>ヘンカン</t>
    </rPh>
    <phoneticPr fontId="1"/>
  </si>
  <si>
    <r>
      <t>z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1-β</t>
    </r>
    <phoneticPr fontId="1"/>
  </si>
  <si>
    <r>
      <t>z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1-α/2</t>
    </r>
    <phoneticPr fontId="1"/>
  </si>
  <si>
    <t>◆ グラフ作成の手順</t>
    <rPh sb="5" eb="7">
      <t>サクセイ</t>
    </rPh>
    <rPh sb="8" eb="10">
      <t>テジュン</t>
    </rPh>
    <phoneticPr fontId="1"/>
  </si>
  <si>
    <t>・セルC5〜C205を選択する</t>
    <phoneticPr fontId="1"/>
  </si>
  <si>
    <t>・［挿入］タブを開き［折れ線／面グラフの挿入］−［折れ線］を選択する</t>
    <phoneticPr fontId="1"/>
  </si>
  <si>
    <t>・［グラフのデザイン］タブの［データの選択］ボタンをクリックする</t>
    <phoneticPr fontId="1"/>
  </si>
  <si>
    <t>・［データソースの選択］ダイアログボックスが表示されるので、［横（項目）軸ラベル］の［編集］ボタンをクリックする</t>
    <phoneticPr fontId="1"/>
  </si>
  <si>
    <t>・［軸ラベル］ダイアログボックスが表示されるので、［軸ラベルの範囲］ボックスをクリックし、セルA6〜A205を選択する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</si>
</sst>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0"/>
    <numFmt numFmtId="178" formatCode="0.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vertAlign val="subscript"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2" xfId="0" applyBorder="1">
      <alignment vertical="center"/>
    </xf>
    <xf numFmtId="38" fontId="0" fillId="0" borderId="0" xfId="1" applyFont="1">
      <alignment vertical="center"/>
    </xf>
    <xf numFmtId="38" fontId="0" fillId="0" borderId="2" xfId="1" applyFont="1" applyBorder="1">
      <alignment vertical="center"/>
    </xf>
    <xf numFmtId="0" fontId="3" fillId="3" borderId="1" xfId="0" applyFont="1" applyFill="1" applyBorder="1" applyAlignment="1">
      <alignment horizontal="centerContinuous" vertical="center"/>
    </xf>
    <xf numFmtId="0" fontId="0" fillId="3" borderId="1" xfId="0" applyFill="1" applyBorder="1" applyAlignment="1">
      <alignment horizontal="centerContinuous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8" fontId="0" fillId="0" borderId="1" xfId="0" applyNumberFormat="1" applyBorder="1">
      <alignment vertical="center"/>
    </xf>
    <xf numFmtId="0" fontId="3" fillId="4" borderId="1" xfId="0" applyFont="1" applyFill="1" applyBorder="1" applyAlignment="1">
      <alignment horizontal="centerContinuous" vertical="center"/>
    </xf>
    <xf numFmtId="0" fontId="3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78" fontId="0" fillId="0" borderId="3" xfId="0" applyNumberFormat="1" applyBorder="1">
      <alignment vertical="center"/>
    </xf>
    <xf numFmtId="178" fontId="0" fillId="0" borderId="2" xfId="0" applyNumberForma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中古車価格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無相関の検定!$I$3</c:f>
              <c:strCache>
                <c:ptCount val="1"/>
                <c:pt idx="0">
                  <c:v>本体価格（万円）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無相関の検定!$F$4:$F$53</c:f>
              <c:numCache>
                <c:formatCode>#,##0_);[Red]\(#,##0\)</c:formatCode>
                <c:ptCount val="50"/>
                <c:pt idx="0">
                  <c:v>2500</c:v>
                </c:pt>
                <c:pt idx="1">
                  <c:v>2000</c:v>
                </c:pt>
                <c:pt idx="2">
                  <c:v>660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1600</c:v>
                </c:pt>
                <c:pt idx="7">
                  <c:v>3000</c:v>
                </c:pt>
                <c:pt idx="8">
                  <c:v>1000</c:v>
                </c:pt>
                <c:pt idx="9">
                  <c:v>2000</c:v>
                </c:pt>
                <c:pt idx="10">
                  <c:v>1400</c:v>
                </c:pt>
                <c:pt idx="11">
                  <c:v>0</c:v>
                </c:pt>
                <c:pt idx="12">
                  <c:v>2000</c:v>
                </c:pt>
                <c:pt idx="13">
                  <c:v>1300</c:v>
                </c:pt>
                <c:pt idx="14">
                  <c:v>1000</c:v>
                </c:pt>
                <c:pt idx="15">
                  <c:v>1300</c:v>
                </c:pt>
                <c:pt idx="16">
                  <c:v>1600</c:v>
                </c:pt>
                <c:pt idx="17">
                  <c:v>1200</c:v>
                </c:pt>
                <c:pt idx="18">
                  <c:v>1600</c:v>
                </c:pt>
                <c:pt idx="19">
                  <c:v>660</c:v>
                </c:pt>
                <c:pt idx="20">
                  <c:v>2000</c:v>
                </c:pt>
                <c:pt idx="21">
                  <c:v>3200</c:v>
                </c:pt>
                <c:pt idx="22">
                  <c:v>1300</c:v>
                </c:pt>
                <c:pt idx="23">
                  <c:v>1600</c:v>
                </c:pt>
                <c:pt idx="24">
                  <c:v>660</c:v>
                </c:pt>
                <c:pt idx="25">
                  <c:v>2000</c:v>
                </c:pt>
                <c:pt idx="26">
                  <c:v>1800</c:v>
                </c:pt>
                <c:pt idx="27">
                  <c:v>1500</c:v>
                </c:pt>
                <c:pt idx="28">
                  <c:v>3700</c:v>
                </c:pt>
                <c:pt idx="29">
                  <c:v>660</c:v>
                </c:pt>
                <c:pt idx="30">
                  <c:v>2500</c:v>
                </c:pt>
                <c:pt idx="31">
                  <c:v>1300</c:v>
                </c:pt>
                <c:pt idx="32">
                  <c:v>1300</c:v>
                </c:pt>
                <c:pt idx="33">
                  <c:v>3500</c:v>
                </c:pt>
                <c:pt idx="34">
                  <c:v>2000</c:v>
                </c:pt>
                <c:pt idx="35">
                  <c:v>2500</c:v>
                </c:pt>
                <c:pt idx="36">
                  <c:v>660</c:v>
                </c:pt>
                <c:pt idx="37">
                  <c:v>1600</c:v>
                </c:pt>
                <c:pt idx="38">
                  <c:v>2000</c:v>
                </c:pt>
                <c:pt idx="39">
                  <c:v>1800</c:v>
                </c:pt>
                <c:pt idx="40">
                  <c:v>2000</c:v>
                </c:pt>
                <c:pt idx="41">
                  <c:v>2000</c:v>
                </c:pt>
                <c:pt idx="42">
                  <c:v>1600</c:v>
                </c:pt>
                <c:pt idx="43">
                  <c:v>660</c:v>
                </c:pt>
                <c:pt idx="44">
                  <c:v>1800</c:v>
                </c:pt>
                <c:pt idx="45">
                  <c:v>1200</c:v>
                </c:pt>
                <c:pt idx="46">
                  <c:v>1800</c:v>
                </c:pt>
                <c:pt idx="47">
                  <c:v>1500</c:v>
                </c:pt>
                <c:pt idx="48">
                  <c:v>3000</c:v>
                </c:pt>
                <c:pt idx="49">
                  <c:v>3000</c:v>
                </c:pt>
              </c:numCache>
            </c:numRef>
          </c:xVal>
          <c:yVal>
            <c:numRef>
              <c:f>無相関の検定!$I$4:$I$53</c:f>
              <c:numCache>
                <c:formatCode>#,##0_);[Red]\(#,##0\)</c:formatCode>
                <c:ptCount val="50"/>
                <c:pt idx="0">
                  <c:v>160</c:v>
                </c:pt>
                <c:pt idx="1">
                  <c:v>170</c:v>
                </c:pt>
                <c:pt idx="2">
                  <c:v>80</c:v>
                </c:pt>
                <c:pt idx="3">
                  <c:v>160</c:v>
                </c:pt>
                <c:pt idx="4">
                  <c:v>200</c:v>
                </c:pt>
                <c:pt idx="5">
                  <c:v>80</c:v>
                </c:pt>
                <c:pt idx="6">
                  <c:v>550</c:v>
                </c:pt>
                <c:pt idx="7">
                  <c:v>450</c:v>
                </c:pt>
                <c:pt idx="8">
                  <c:v>85</c:v>
                </c:pt>
                <c:pt idx="9">
                  <c:v>120</c:v>
                </c:pt>
                <c:pt idx="10">
                  <c:v>100</c:v>
                </c:pt>
                <c:pt idx="11">
                  <c:v>300</c:v>
                </c:pt>
                <c:pt idx="12">
                  <c:v>240</c:v>
                </c:pt>
                <c:pt idx="13">
                  <c:v>80</c:v>
                </c:pt>
                <c:pt idx="14">
                  <c:v>28</c:v>
                </c:pt>
                <c:pt idx="15">
                  <c:v>120</c:v>
                </c:pt>
                <c:pt idx="16">
                  <c:v>120</c:v>
                </c:pt>
                <c:pt idx="17">
                  <c:v>28</c:v>
                </c:pt>
                <c:pt idx="18">
                  <c:v>150</c:v>
                </c:pt>
                <c:pt idx="19">
                  <c:v>76</c:v>
                </c:pt>
                <c:pt idx="20">
                  <c:v>170</c:v>
                </c:pt>
                <c:pt idx="21">
                  <c:v>300</c:v>
                </c:pt>
                <c:pt idx="22">
                  <c:v>25</c:v>
                </c:pt>
                <c:pt idx="23">
                  <c:v>100</c:v>
                </c:pt>
                <c:pt idx="24">
                  <c:v>75</c:v>
                </c:pt>
                <c:pt idx="25">
                  <c:v>270</c:v>
                </c:pt>
                <c:pt idx="26">
                  <c:v>35</c:v>
                </c:pt>
                <c:pt idx="27">
                  <c:v>160</c:v>
                </c:pt>
                <c:pt idx="28">
                  <c:v>250</c:v>
                </c:pt>
                <c:pt idx="29">
                  <c:v>90</c:v>
                </c:pt>
                <c:pt idx="30">
                  <c:v>290</c:v>
                </c:pt>
                <c:pt idx="31">
                  <c:v>150</c:v>
                </c:pt>
                <c:pt idx="32">
                  <c:v>30</c:v>
                </c:pt>
                <c:pt idx="33">
                  <c:v>220</c:v>
                </c:pt>
                <c:pt idx="34">
                  <c:v>120</c:v>
                </c:pt>
                <c:pt idx="35">
                  <c:v>150</c:v>
                </c:pt>
                <c:pt idx="36">
                  <c:v>80</c:v>
                </c:pt>
                <c:pt idx="37">
                  <c:v>100</c:v>
                </c:pt>
                <c:pt idx="38">
                  <c:v>32</c:v>
                </c:pt>
                <c:pt idx="39">
                  <c:v>70</c:v>
                </c:pt>
                <c:pt idx="40">
                  <c:v>240</c:v>
                </c:pt>
                <c:pt idx="41">
                  <c:v>260</c:v>
                </c:pt>
                <c:pt idx="42">
                  <c:v>130</c:v>
                </c:pt>
                <c:pt idx="43">
                  <c:v>85</c:v>
                </c:pt>
                <c:pt idx="44">
                  <c:v>150</c:v>
                </c:pt>
                <c:pt idx="45">
                  <c:v>20</c:v>
                </c:pt>
                <c:pt idx="46">
                  <c:v>180</c:v>
                </c:pt>
                <c:pt idx="47">
                  <c:v>25</c:v>
                </c:pt>
                <c:pt idx="48">
                  <c:v>360</c:v>
                </c:pt>
                <c:pt idx="49">
                  <c:v>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7-4C41-AF15-EF64ECB74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907248"/>
        <c:axId val="1161909648"/>
      </c:scatterChart>
      <c:valAx>
        <c:axId val="116190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排気量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1909648"/>
        <c:crosses val="autoZero"/>
        <c:crossBetween val="midCat"/>
      </c:valAx>
      <c:valAx>
        <c:axId val="11619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価格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190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中古車価格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'無相関の検定 (作成例)'!$I$3</c:f>
              <c:strCache>
                <c:ptCount val="1"/>
                <c:pt idx="0">
                  <c:v>本体価格（万円）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'無相関の検定 (作成例)'!$F$4:$F$53</c:f>
              <c:numCache>
                <c:formatCode>#,##0_);[Red]\(#,##0\)</c:formatCode>
                <c:ptCount val="50"/>
                <c:pt idx="0">
                  <c:v>2500</c:v>
                </c:pt>
                <c:pt idx="1">
                  <c:v>2000</c:v>
                </c:pt>
                <c:pt idx="2">
                  <c:v>660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1600</c:v>
                </c:pt>
                <c:pt idx="7">
                  <c:v>3000</c:v>
                </c:pt>
                <c:pt idx="8">
                  <c:v>1000</c:v>
                </c:pt>
                <c:pt idx="9">
                  <c:v>2000</c:v>
                </c:pt>
                <c:pt idx="10">
                  <c:v>1400</c:v>
                </c:pt>
                <c:pt idx="11">
                  <c:v>0</c:v>
                </c:pt>
                <c:pt idx="12">
                  <c:v>2000</c:v>
                </c:pt>
                <c:pt idx="13">
                  <c:v>1300</c:v>
                </c:pt>
                <c:pt idx="14">
                  <c:v>1000</c:v>
                </c:pt>
                <c:pt idx="15">
                  <c:v>1300</c:v>
                </c:pt>
                <c:pt idx="16">
                  <c:v>1600</c:v>
                </c:pt>
                <c:pt idx="17">
                  <c:v>1200</c:v>
                </c:pt>
                <c:pt idx="18">
                  <c:v>1600</c:v>
                </c:pt>
                <c:pt idx="19">
                  <c:v>660</c:v>
                </c:pt>
                <c:pt idx="20">
                  <c:v>2000</c:v>
                </c:pt>
                <c:pt idx="21">
                  <c:v>3200</c:v>
                </c:pt>
                <c:pt idx="22">
                  <c:v>1300</c:v>
                </c:pt>
                <c:pt idx="23">
                  <c:v>1600</c:v>
                </c:pt>
                <c:pt idx="24">
                  <c:v>660</c:v>
                </c:pt>
                <c:pt idx="25">
                  <c:v>2000</c:v>
                </c:pt>
                <c:pt idx="26">
                  <c:v>1800</c:v>
                </c:pt>
                <c:pt idx="27">
                  <c:v>1500</c:v>
                </c:pt>
                <c:pt idx="28">
                  <c:v>3700</c:v>
                </c:pt>
                <c:pt idx="29">
                  <c:v>660</c:v>
                </c:pt>
                <c:pt idx="30">
                  <c:v>2500</c:v>
                </c:pt>
                <c:pt idx="31">
                  <c:v>1300</c:v>
                </c:pt>
                <c:pt idx="32">
                  <c:v>1300</c:v>
                </c:pt>
                <c:pt idx="33">
                  <c:v>3500</c:v>
                </c:pt>
                <c:pt idx="34">
                  <c:v>2000</c:v>
                </c:pt>
                <c:pt idx="35">
                  <c:v>2500</c:v>
                </c:pt>
                <c:pt idx="36">
                  <c:v>660</c:v>
                </c:pt>
                <c:pt idx="37">
                  <c:v>1600</c:v>
                </c:pt>
                <c:pt idx="38">
                  <c:v>2000</c:v>
                </c:pt>
                <c:pt idx="39">
                  <c:v>1800</c:v>
                </c:pt>
                <c:pt idx="40">
                  <c:v>2000</c:v>
                </c:pt>
                <c:pt idx="41">
                  <c:v>2000</c:v>
                </c:pt>
                <c:pt idx="42">
                  <c:v>1600</c:v>
                </c:pt>
                <c:pt idx="43">
                  <c:v>660</c:v>
                </c:pt>
                <c:pt idx="44">
                  <c:v>1800</c:v>
                </c:pt>
                <c:pt idx="45">
                  <c:v>1200</c:v>
                </c:pt>
                <c:pt idx="46">
                  <c:v>1800</c:v>
                </c:pt>
                <c:pt idx="47">
                  <c:v>1500</c:v>
                </c:pt>
                <c:pt idx="48">
                  <c:v>3000</c:v>
                </c:pt>
                <c:pt idx="49">
                  <c:v>3000</c:v>
                </c:pt>
              </c:numCache>
            </c:numRef>
          </c:xVal>
          <c:yVal>
            <c:numRef>
              <c:f>'無相関の検定 (作成例)'!$I$4:$I$53</c:f>
              <c:numCache>
                <c:formatCode>#,##0_);[Red]\(#,##0\)</c:formatCode>
                <c:ptCount val="50"/>
                <c:pt idx="0">
                  <c:v>160</c:v>
                </c:pt>
                <c:pt idx="1">
                  <c:v>170</c:v>
                </c:pt>
                <c:pt idx="2">
                  <c:v>80</c:v>
                </c:pt>
                <c:pt idx="3">
                  <c:v>160</c:v>
                </c:pt>
                <c:pt idx="4">
                  <c:v>200</c:v>
                </c:pt>
                <c:pt idx="5">
                  <c:v>80</c:v>
                </c:pt>
                <c:pt idx="6">
                  <c:v>550</c:v>
                </c:pt>
                <c:pt idx="7">
                  <c:v>450</c:v>
                </c:pt>
                <c:pt idx="8">
                  <c:v>85</c:v>
                </c:pt>
                <c:pt idx="9">
                  <c:v>120</c:v>
                </c:pt>
                <c:pt idx="10">
                  <c:v>100</c:v>
                </c:pt>
                <c:pt idx="11">
                  <c:v>300</c:v>
                </c:pt>
                <c:pt idx="12">
                  <c:v>240</c:v>
                </c:pt>
                <c:pt idx="13">
                  <c:v>80</c:v>
                </c:pt>
                <c:pt idx="14">
                  <c:v>28</c:v>
                </c:pt>
                <c:pt idx="15">
                  <c:v>120</c:v>
                </c:pt>
                <c:pt idx="16">
                  <c:v>120</c:v>
                </c:pt>
                <c:pt idx="17">
                  <c:v>28</c:v>
                </c:pt>
                <c:pt idx="18">
                  <c:v>150</c:v>
                </c:pt>
                <c:pt idx="19">
                  <c:v>76</c:v>
                </c:pt>
                <c:pt idx="20">
                  <c:v>170</c:v>
                </c:pt>
                <c:pt idx="21">
                  <c:v>300</c:v>
                </c:pt>
                <c:pt idx="22">
                  <c:v>25</c:v>
                </c:pt>
                <c:pt idx="23">
                  <c:v>100</c:v>
                </c:pt>
                <c:pt idx="24">
                  <c:v>75</c:v>
                </c:pt>
                <c:pt idx="25">
                  <c:v>270</c:v>
                </c:pt>
                <c:pt idx="26">
                  <c:v>35</c:v>
                </c:pt>
                <c:pt idx="27">
                  <c:v>160</c:v>
                </c:pt>
                <c:pt idx="28">
                  <c:v>250</c:v>
                </c:pt>
                <c:pt idx="29">
                  <c:v>90</c:v>
                </c:pt>
                <c:pt idx="30">
                  <c:v>290</c:v>
                </c:pt>
                <c:pt idx="31">
                  <c:v>150</c:v>
                </c:pt>
                <c:pt idx="32">
                  <c:v>30</c:v>
                </c:pt>
                <c:pt idx="33">
                  <c:v>220</c:v>
                </c:pt>
                <c:pt idx="34">
                  <c:v>120</c:v>
                </c:pt>
                <c:pt idx="35">
                  <c:v>150</c:v>
                </c:pt>
                <c:pt idx="36">
                  <c:v>80</c:v>
                </c:pt>
                <c:pt idx="37">
                  <c:v>100</c:v>
                </c:pt>
                <c:pt idx="38">
                  <c:v>32</c:v>
                </c:pt>
                <c:pt idx="39">
                  <c:v>70</c:v>
                </c:pt>
                <c:pt idx="40">
                  <c:v>240</c:v>
                </c:pt>
                <c:pt idx="41">
                  <c:v>260</c:v>
                </c:pt>
                <c:pt idx="42">
                  <c:v>130</c:v>
                </c:pt>
                <c:pt idx="43">
                  <c:v>85</c:v>
                </c:pt>
                <c:pt idx="44">
                  <c:v>150</c:v>
                </c:pt>
                <c:pt idx="45">
                  <c:v>20</c:v>
                </c:pt>
                <c:pt idx="46">
                  <c:v>180</c:v>
                </c:pt>
                <c:pt idx="47">
                  <c:v>25</c:v>
                </c:pt>
                <c:pt idx="48">
                  <c:v>360</c:v>
                </c:pt>
                <c:pt idx="49">
                  <c:v>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4-4DBB-8A34-3B4CB0FF1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907248"/>
        <c:axId val="1161909648"/>
      </c:scatterChart>
      <c:valAx>
        <c:axId val="116190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排気量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1909648"/>
        <c:crosses val="autoZero"/>
        <c:crossBetween val="midCat"/>
      </c:valAx>
      <c:valAx>
        <c:axId val="11619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価格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190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サンプルサイズとP値!$C$5</c:f>
              <c:strCache>
                <c:ptCount val="1"/>
                <c:pt idx="0">
                  <c:v>P値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サンプルサイズとP値!$A$6:$A$205</c:f>
              <c:numCache>
                <c:formatCode>General</c:formatCode>
                <c:ptCount val="200"/>
              </c:numCache>
            </c:numRef>
          </c:cat>
          <c:val>
            <c:numRef>
              <c:f>サンプルサイズとP値!$C$6:$C$205</c:f>
              <c:numCache>
                <c:formatCode>0.0000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E-4097-A1FD-5C4CF900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248576"/>
        <c:axId val="1805932896"/>
      </c:lineChart>
      <c:catAx>
        <c:axId val="14572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932896"/>
        <c:crosses val="autoZero"/>
        <c:auto val="1"/>
        <c:lblAlgn val="ctr"/>
        <c:lblOffset val="100"/>
        <c:tickMarkSkip val="1"/>
        <c:noMultiLvlLbl val="0"/>
      </c:catAx>
      <c:valAx>
        <c:axId val="18059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724857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'サンプルサイズとP値 (作成例)'!$C$5</c:f>
              <c:strCache>
                <c:ptCount val="1"/>
                <c:pt idx="0">
                  <c:v>P値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'サンプルサイズとP値 (作成例)'!$A$6:$A$205</c:f>
              <c:numCache>
                <c:formatCode>General</c:formatCode>
                <c:ptCount val="2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</c:numCache>
            </c:numRef>
          </c:cat>
          <c:val>
            <c:numRef>
              <c:f>'サンプルサイズとP値 (作成例)'!$C$6:$C$205</c:f>
              <c:numCache>
                <c:formatCode>0.0000</c:formatCode>
                <c:ptCount val="200"/>
                <c:pt idx="0">
                  <c:v>0.89089802758789061</c:v>
                </c:pt>
                <c:pt idx="1">
                  <c:v>0.83418347902861489</c:v>
                </c:pt>
                <c:pt idx="2">
                  <c:v>0.79302195781715157</c:v>
                </c:pt>
                <c:pt idx="3">
                  <c:v>0.75930628951062429</c:v>
                </c:pt>
                <c:pt idx="4">
                  <c:v>0.73022457310064082</c:v>
                </c:pt>
                <c:pt idx="5">
                  <c:v>0.70439933494280227</c:v>
                </c:pt>
                <c:pt idx="6">
                  <c:v>0.6810322301754409</c:v>
                </c:pt>
                <c:pt idx="7">
                  <c:v>0.65961065315343448</c:v>
                </c:pt>
                <c:pt idx="8">
                  <c:v>0.63978173933985849</c:v>
                </c:pt>
                <c:pt idx="9">
                  <c:v>0.6212899778453026</c:v>
                </c:pt>
                <c:pt idx="10">
                  <c:v>0.60394308396914831</c:v>
                </c:pt>
                <c:pt idx="11">
                  <c:v>0.58759189375597998</c:v>
                </c:pt>
                <c:pt idx="12">
                  <c:v>0.57211781772618497</c:v>
                </c:pt>
                <c:pt idx="13">
                  <c:v>0.55742464268540759</c:v>
                </c:pt>
                <c:pt idx="14">
                  <c:v>0.54343296862676294</c:v>
                </c:pt>
                <c:pt idx="15">
                  <c:v>0.5300763127951662</c:v>
                </c:pt>
                <c:pt idx="16">
                  <c:v>0.51729830730091442</c:v>
                </c:pt>
                <c:pt idx="17">
                  <c:v>0.50505063643145043</c:v>
                </c:pt>
                <c:pt idx="18">
                  <c:v>0.49329148775955944</c:v>
                </c:pt>
                <c:pt idx="19">
                  <c:v>0.48198436848550463</c:v>
                </c:pt>
                <c:pt idx="20">
                  <c:v>0.47109718674369927</c:v>
                </c:pt>
                <c:pt idx="21">
                  <c:v>0.46060152863216275</c:v>
                </c:pt>
                <c:pt idx="22">
                  <c:v>0.45047208216656509</c:v>
                </c:pt>
                <c:pt idx="23">
                  <c:v>0.44068617313631742</c:v>
                </c:pt>
                <c:pt idx="24">
                  <c:v>0.43122338731146115</c:v>
                </c:pt>
                <c:pt idx="25">
                  <c:v>0.42206526008029777</c:v>
                </c:pt>
                <c:pt idx="26">
                  <c:v>0.41319501931747493</c:v>
                </c:pt>
                <c:pt idx="27">
                  <c:v>0.40459737069233181</c:v>
                </c:pt>
                <c:pt idx="28">
                  <c:v>0.39625831712517701</c:v>
                </c:pt>
                <c:pt idx="29">
                  <c:v>0.3881650059520404</c:v>
                </c:pt>
                <c:pt idx="30">
                  <c:v>0.38030559874892966</c:v>
                </c:pt>
                <c:pt idx="31">
                  <c:v>0.37266915982138993</c:v>
                </c:pt>
                <c:pt idx="32">
                  <c:v>0.36524556017329279</c:v>
                </c:pt>
                <c:pt idx="33">
                  <c:v>0.35802539439367631</c:v>
                </c:pt>
                <c:pt idx="34">
                  <c:v>0.35099990838790329</c:v>
                </c:pt>
                <c:pt idx="35">
                  <c:v>0.34416093626269928</c:v>
                </c:pt>
                <c:pt idx="36">
                  <c:v>0.33750084497830013</c:v>
                </c:pt>
                <c:pt idx="37">
                  <c:v>0.33101248562329222</c:v>
                </c:pt>
                <c:pt idx="38">
                  <c:v>0.32468915036239077</c:v>
                </c:pt>
                <c:pt idx="39">
                  <c:v>0.31852453426477112</c:v>
                </c:pt>
                <c:pt idx="40">
                  <c:v>0.31251270134855891</c:v>
                </c:pt>
                <c:pt idx="41">
                  <c:v>0.30664805428174652</c:v>
                </c:pt>
                <c:pt idx="42">
                  <c:v>0.30092530726585853</c:v>
                </c:pt>
                <c:pt idx="43">
                  <c:v>0.29533946169980546</c:v>
                </c:pt>
                <c:pt idx="44">
                  <c:v>0.28988578428040696</c:v>
                </c:pt>
                <c:pt idx="45">
                  <c:v>0.28455978724533182</c:v>
                </c:pt>
                <c:pt idx="46">
                  <c:v>0.27935721050544904</c:v>
                </c:pt>
                <c:pt idx="47">
                  <c:v>0.27427400544831854</c:v>
                </c:pt>
                <c:pt idx="48">
                  <c:v>0.26930632022384937</c:v>
                </c:pt>
                <c:pt idx="49">
                  <c:v>0.26445048634802587</c:v>
                </c:pt>
                <c:pt idx="50">
                  <c:v>0.2597030064817421</c:v>
                </c:pt>
                <c:pt idx="51">
                  <c:v>0.25506054325984601</c:v>
                </c:pt>
                <c:pt idx="52">
                  <c:v>0.25051990906096355</c:v>
                </c:pt>
                <c:pt idx="53">
                  <c:v>0.24607805662196852</c:v>
                </c:pt>
                <c:pt idx="54">
                  <c:v>0.24173207041242048</c:v>
                </c:pt>
                <c:pt idx="55">
                  <c:v>0.23747915869420477</c:v>
                </c:pt>
                <c:pt idx="56">
                  <c:v>0.23331664620019224</c:v>
                </c:pt>
                <c:pt idx="57">
                  <c:v>0.22924196737321259</c:v>
                </c:pt>
                <c:pt idx="58">
                  <c:v>0.22525266011313325</c:v>
                </c:pt>
                <c:pt idx="59">
                  <c:v>0.2213463599855327</c:v>
                </c:pt>
                <c:pt idx="60">
                  <c:v>0.21752079485043432</c:v>
                </c:pt>
                <c:pt idx="61">
                  <c:v>0.21377377987394053</c:v>
                </c:pt>
                <c:pt idx="62">
                  <c:v>0.2101032128894606</c:v>
                </c:pt>
                <c:pt idx="63">
                  <c:v>0.2065070700786143</c:v>
                </c:pt>
                <c:pt idx="64">
                  <c:v>0.20298340194490047</c:v>
                </c:pt>
                <c:pt idx="65">
                  <c:v>0.19953032955587041</c:v>
                </c:pt>
                <c:pt idx="66">
                  <c:v>0.19614604103190858</c:v>
                </c:pt>
                <c:pt idx="67">
                  <c:v>0.19282878826181782</c:v>
                </c:pt>
                <c:pt idx="68">
                  <c:v>0.18957688382726945</c:v>
                </c:pt>
                <c:pt idx="69">
                  <c:v>0.18638869811985412</c:v>
                </c:pt>
                <c:pt idx="70">
                  <c:v>0.18326265663594785</c:v>
                </c:pt>
                <c:pt idx="71">
                  <c:v>0.18019723743594773</c:v>
                </c:pt>
                <c:pt idx="72">
                  <c:v>0.1771909687556267</c:v>
                </c:pt>
                <c:pt idx="73">
                  <c:v>0.17424242675842977</c:v>
                </c:pt>
                <c:pt idx="74">
                  <c:v>0.171350233418501</c:v>
                </c:pt>
                <c:pt idx="75">
                  <c:v>0.16851305452510276</c:v>
                </c:pt>
                <c:pt idx="76">
                  <c:v>0.16572959779987231</c:v>
                </c:pt>
                <c:pt idx="77">
                  <c:v>0.16299861111907477</c:v>
                </c:pt>
                <c:pt idx="78">
                  <c:v>0.1603188808336487</c:v>
                </c:pt>
                <c:pt idx="79">
                  <c:v>0.15768923018042819</c:v>
                </c:pt>
                <c:pt idx="80">
                  <c:v>0.15510851777845158</c:v>
                </c:pt>
                <c:pt idx="81">
                  <c:v>0.15257563620474449</c:v>
                </c:pt>
                <c:pt idx="82">
                  <c:v>0.15008951064440693</c:v>
                </c:pt>
                <c:pt idx="83">
                  <c:v>0.14764909761022718</c:v>
                </c:pt>
                <c:pt idx="84">
                  <c:v>0.14525338372740965</c:v>
                </c:pt>
                <c:pt idx="85">
                  <c:v>0.14290138457933496</c:v>
                </c:pt>
                <c:pt idx="86">
                  <c:v>0.14059214361057287</c:v>
                </c:pt>
                <c:pt idx="87">
                  <c:v>0.13832473108364507</c:v>
                </c:pt>
                <c:pt idx="88">
                  <c:v>0.13609824308628932</c:v>
                </c:pt>
                <c:pt idx="89">
                  <c:v>0.13391180058620752</c:v>
                </c:pt>
                <c:pt idx="90">
                  <c:v>0.13176454853049446</c:v>
                </c:pt>
                <c:pt idx="91">
                  <c:v>0.12965565498714091</c:v>
                </c:pt>
                <c:pt idx="92">
                  <c:v>0.12758431032618187</c:v>
                </c:pt>
                <c:pt idx="93">
                  <c:v>0.12554972643823087</c:v>
                </c:pt>
                <c:pt idx="94">
                  <c:v>0.12355113598829071</c:v>
                </c:pt>
                <c:pt idx="95">
                  <c:v>0.12158779170287336</c:v>
                </c:pt>
                <c:pt idx="96">
                  <c:v>0.11965896568859249</c:v>
                </c:pt>
                <c:pt idx="97">
                  <c:v>0.1177639487805112</c:v>
                </c:pt>
                <c:pt idx="98">
                  <c:v>0.11590204991863845</c:v>
                </c:pt>
                <c:pt idx="99">
                  <c:v>0.11407259555107296</c:v>
                </c:pt>
                <c:pt idx="100">
                  <c:v>0.11227492906238463</c:v>
                </c:pt>
                <c:pt idx="101">
                  <c:v>0.11050841022591672</c:v>
                </c:pt>
                <c:pt idx="102">
                  <c:v>0.10877241467876875</c:v>
                </c:pt>
                <c:pt idx="103">
                  <c:v>0.10706633341830153</c:v>
                </c:pt>
                <c:pt idx="104">
                  <c:v>0.10538957231907113</c:v>
                </c:pt>
                <c:pt idx="105">
                  <c:v>0.10374155166916922</c:v>
                </c:pt>
                <c:pt idx="106">
                  <c:v>0.10212170572500365</c:v>
                </c:pt>
                <c:pt idx="107">
                  <c:v>0.10052948228361507</c:v>
                </c:pt>
                <c:pt idx="108">
                  <c:v>9.8964342271673486E-2</c:v>
                </c:pt>
                <c:pt idx="109">
                  <c:v>9.7425759350352484E-2</c:v>
                </c:pt>
                <c:pt idx="110">
                  <c:v>9.5913219535321254E-2</c:v>
                </c:pt>
                <c:pt idx="111">
                  <c:v>9.4426220831140939E-2</c:v>
                </c:pt>
                <c:pt idx="112">
                  <c:v>9.2964272879389409E-2</c:v>
                </c:pt>
                <c:pt idx="113">
                  <c:v>9.1526896619878659E-2</c:v>
                </c:pt>
                <c:pt idx="114">
                  <c:v>9.0113623964361775E-2</c:v>
                </c:pt>
                <c:pt idx="115">
                  <c:v>8.8723997482161046E-2</c:v>
                </c:pt>
                <c:pt idx="116">
                  <c:v>8.7357570097180176E-2</c:v>
                </c:pt>
                <c:pt idx="117">
                  <c:v>8.6013904795789825E-2</c:v>
                </c:pt>
                <c:pt idx="118">
                  <c:v>8.4692574345106034E-2</c:v>
                </c:pt>
                <c:pt idx="119">
                  <c:v>8.3393161021205156E-2</c:v>
                </c:pt>
                <c:pt idx="120">
                  <c:v>8.2115256346841359E-2</c:v>
                </c:pt>
                <c:pt idx="121">
                  <c:v>8.0858460838257859E-2</c:v>
                </c:pt>
                <c:pt idx="122">
                  <c:v>7.9622383760703894E-2</c:v>
                </c:pt>
                <c:pt idx="123">
                  <c:v>7.840664289228548E-2</c:v>
                </c:pt>
                <c:pt idx="124">
                  <c:v>7.7210864295802636E-2</c:v>
                </c:pt>
                <c:pt idx="125">
                  <c:v>7.6034682098238673E-2</c:v>
                </c:pt>
                <c:pt idx="126">
                  <c:v>7.4877738277585065E-2</c:v>
                </c:pt>
                <c:pt idx="127">
                  <c:v>7.3739682456703079E-2</c:v>
                </c:pt>
                <c:pt idx="128">
                  <c:v>7.2620171703933173E-2</c:v>
                </c:pt>
                <c:pt idx="129">
                  <c:v>7.1518870340184171E-2</c:v>
                </c:pt>
                <c:pt idx="130">
                  <c:v>7.0435449752239143E-2</c:v>
                </c:pt>
                <c:pt idx="131">
                  <c:v>6.936958821203458E-2</c:v>
                </c:pt>
                <c:pt idx="132">
                  <c:v>6.8320970701676281E-2</c:v>
                </c:pt>
                <c:pt idx="133">
                  <c:v>6.7289288743968556E-2</c:v>
                </c:pt>
                <c:pt idx="134">
                  <c:v>6.6274240238243756E-2</c:v>
                </c:pt>
                <c:pt idx="135">
                  <c:v>6.5275529301287605E-2</c:v>
                </c:pt>
                <c:pt idx="136">
                  <c:v>6.4292866113167327E-2</c:v>
                </c:pt>
                <c:pt idx="137">
                  <c:v>6.3325966767776354E-2</c:v>
                </c:pt>
                <c:pt idx="138">
                  <c:v>6.2374553127918765E-2</c:v>
                </c:pt>
                <c:pt idx="139">
                  <c:v>6.1438352684764913E-2</c:v>
                </c:pt>
                <c:pt idx="140">
                  <c:v>6.0517098421516403E-2</c:v>
                </c:pt>
                <c:pt idx="141">
                  <c:v>5.9610528681125236E-2</c:v>
                </c:pt>
                <c:pt idx="142">
                  <c:v>5.8718387037921836E-2</c:v>
                </c:pt>
                <c:pt idx="143">
                  <c:v>5.7840422173007437E-2</c:v>
                </c:pt>
                <c:pt idx="144">
                  <c:v>5.6976387753278838E-2</c:v>
                </c:pt>
                <c:pt idx="145">
                  <c:v>5.6126042313954592E-2</c:v>
                </c:pt>
                <c:pt idx="146">
                  <c:v>5.5289149144478911E-2</c:v>
                </c:pt>
                <c:pt idx="147">
                  <c:v>5.4465476177685129E-2</c:v>
                </c:pt>
                <c:pt idx="148">
                  <c:v>5.36547958821052E-2</c:v>
                </c:pt>
                <c:pt idx="149">
                  <c:v>5.2856885157315743E-2</c:v>
                </c:pt>
                <c:pt idx="150">
                  <c:v>5.2071525232217183E-2</c:v>
                </c:pt>
                <c:pt idx="151">
                  <c:v>5.1298501566144981E-2</c:v>
                </c:pt>
                <c:pt idx="152">
                  <c:v>5.0537603752717708E-2</c:v>
                </c:pt>
                <c:pt idx="153">
                  <c:v>4.9788625426329489E-2</c:v>
                </c:pt>
                <c:pt idx="154">
                  <c:v>4.9051364171198146E-2</c:v>
                </c:pt>
                <c:pt idx="155">
                  <c:v>4.8325621432885338E-2</c:v>
                </c:pt>
                <c:pt idx="156">
                  <c:v>4.7611202432205298E-2</c:v>
                </c:pt>
                <c:pt idx="157">
                  <c:v>4.6907916081445698E-2</c:v>
                </c:pt>
                <c:pt idx="158">
                  <c:v>4.6215574902824678E-2</c:v>
                </c:pt>
                <c:pt idx="159">
                  <c:v>4.5533994949110812E-2</c:v>
                </c:pt>
                <c:pt idx="160">
                  <c:v>4.4862995726338645E-2</c:v>
                </c:pt>
                <c:pt idx="161">
                  <c:v>4.420240011855054E-2</c:v>
                </c:pt>
                <c:pt idx="162">
                  <c:v>4.3552034314502372E-2</c:v>
                </c:pt>
                <c:pt idx="163">
                  <c:v>4.2911727736270618E-2</c:v>
                </c:pt>
                <c:pt idx="164">
                  <c:v>4.2281312969700099E-2</c:v>
                </c:pt>
                <c:pt idx="165">
                  <c:v>4.1660625696637699E-2</c:v>
                </c:pt>
                <c:pt idx="166">
                  <c:v>4.1049504628893917E-2</c:v>
                </c:pt>
                <c:pt idx="167">
                  <c:v>4.0447791443881463E-2</c:v>
                </c:pt>
                <c:pt idx="168">
                  <c:v>3.9855330721877864E-2</c:v>
                </c:pt>
                <c:pt idx="169">
                  <c:v>3.9271969884864352E-2</c:v>
                </c:pt>
                <c:pt idx="170">
                  <c:v>3.8697559136892316E-2</c:v>
                </c:pt>
                <c:pt idx="171">
                  <c:v>3.813195140593155E-2</c:v>
                </c:pt>
                <c:pt idx="172">
                  <c:v>3.7575002287156989E-2</c:v>
                </c:pt>
                <c:pt idx="173">
                  <c:v>3.7026569987630369E-2</c:v>
                </c:pt>
                <c:pt idx="174">
                  <c:v>3.6486515272335721E-2</c:v>
                </c:pt>
                <c:pt idx="175">
                  <c:v>3.5954701411529892E-2</c:v>
                </c:pt>
                <c:pt idx="176">
                  <c:v>3.5430994129368676E-2</c:v>
                </c:pt>
                <c:pt idx="177">
                  <c:v>3.4915261553772045E-2</c:v>
                </c:pt>
                <c:pt idx="178">
                  <c:v>3.440737416749319E-2</c:v>
                </c:pt>
                <c:pt idx="179">
                  <c:v>3.3907204760356115E-2</c:v>
                </c:pt>
                <c:pt idx="180">
                  <c:v>3.3414628382628792E-2</c:v>
                </c:pt>
                <c:pt idx="181">
                  <c:v>3.2929522299500434E-2</c:v>
                </c:pt>
                <c:pt idx="182">
                  <c:v>3.2451765946629733E-2</c:v>
                </c:pt>
                <c:pt idx="183">
                  <c:v>3.1981240886737185E-2</c:v>
                </c:pt>
                <c:pt idx="184">
                  <c:v>3.1517830767208765E-2</c:v>
                </c:pt>
                <c:pt idx="185">
                  <c:v>3.106142127868617E-2</c:v>
                </c:pt>
                <c:pt idx="186">
                  <c:v>3.0611900114614152E-2</c:v>
                </c:pt>
                <c:pt idx="187">
                  <c:v>3.0169156931719898E-2</c:v>
                </c:pt>
                <c:pt idx="188">
                  <c:v>2.9733083311398376E-2</c:v>
                </c:pt>
                <c:pt idx="189">
                  <c:v>2.9303572721979417E-2</c:v>
                </c:pt>
                <c:pt idx="190">
                  <c:v>2.8880520481852748E-2</c:v>
                </c:pt>
                <c:pt idx="191">
                  <c:v>2.8463823723427317E-2</c:v>
                </c:pt>
                <c:pt idx="192">
                  <c:v>2.8053381357903737E-2</c:v>
                </c:pt>
                <c:pt idx="193">
                  <c:v>2.7649094040836451E-2</c:v>
                </c:pt>
                <c:pt idx="194">
                  <c:v>2.7250864138466845E-2</c:v>
                </c:pt>
                <c:pt idx="195">
                  <c:v>2.6858595694805604E-2</c:v>
                </c:pt>
                <c:pt idx="196">
                  <c:v>2.6472194399444347E-2</c:v>
                </c:pt>
                <c:pt idx="197">
                  <c:v>2.6091567556079127E-2</c:v>
                </c:pt>
                <c:pt idx="198">
                  <c:v>2.5716624051725617E-2</c:v>
                </c:pt>
                <c:pt idx="199">
                  <c:v>2.5347274326609295E-2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C-43B7-94A2-5E2B13B6B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248576"/>
        <c:axId val="1805932896"/>
      </c:lineChart>
      <c:catAx>
        <c:axId val="14572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932896"/>
        <c:crosses val="autoZero"/>
        <c:auto val="1"/>
        <c:lblAlgn val="ctr"/>
        <c:lblOffset val="100"/>
        <c:tickMarkSkip val="1"/>
        <c:noMultiLvlLbl val="0"/>
      </c:catAx>
      <c:valAx>
        <c:axId val="18059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724857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853798A-2778-4D6C-BD59-29BC5195B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9D7F23E-1CD2-4440-9A74-836808980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4</xdr:row>
      <xdr:rowOff>0</xdr:rowOff>
    </xdr:from>
    <xdr:to>
      <xdr:col>12</xdr:col>
      <xdr:colOff>1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3E4021D-9A7A-B52E-E450-5F6C5B838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4</xdr:row>
      <xdr:rowOff>0</xdr:rowOff>
    </xdr:from>
    <xdr:to>
      <xdr:col>12</xdr:col>
      <xdr:colOff>1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E59DFD9-C26E-49C7-B2C0-2328D1F56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015B-A697-429A-8F6D-46EC0D99698E}">
  <dimension ref="A1:L173"/>
  <sheetViews>
    <sheetView tabSelected="1" workbookViewId="0">
      <selection activeCell="K4" sqref="K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12.625" bestFit="1" customWidth="1"/>
  </cols>
  <sheetData>
    <row r="1" spans="1:12" x14ac:dyDescent="0.7">
      <c r="A1" s="11" t="s">
        <v>106</v>
      </c>
      <c r="B1" s="19"/>
    </row>
    <row r="3" spans="1:12" x14ac:dyDescent="0.7">
      <c r="A3" s="18" t="s">
        <v>0</v>
      </c>
      <c r="B3" s="18" t="s">
        <v>1</v>
      </c>
      <c r="C3" s="18" t="s">
        <v>2</v>
      </c>
      <c r="D3" s="18" t="s">
        <v>3</v>
      </c>
      <c r="E3" s="18" t="s">
        <v>97</v>
      </c>
      <c r="F3" s="18" t="s">
        <v>4</v>
      </c>
      <c r="G3" s="18" t="s">
        <v>5</v>
      </c>
      <c r="H3" s="18" t="s">
        <v>6</v>
      </c>
      <c r="I3" s="18" t="s">
        <v>7</v>
      </c>
      <c r="K3" s="4" t="s">
        <v>98</v>
      </c>
      <c r="L3" s="5"/>
    </row>
    <row r="4" spans="1:12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K4" s="15"/>
      <c r="L4" s="7"/>
    </row>
    <row r="5" spans="1:12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</row>
    <row r="6" spans="1:12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K6" s="16" t="s">
        <v>105</v>
      </c>
      <c r="L6" s="16"/>
    </row>
    <row r="7" spans="1:12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K7" s="8" t="s">
        <v>100</v>
      </c>
    </row>
    <row r="8" spans="1:12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K8" s="8" t="s">
        <v>104</v>
      </c>
      <c r="L8" s="10"/>
    </row>
    <row r="9" spans="1:12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K9" s="17" t="s">
        <v>101</v>
      </c>
      <c r="L9" s="14"/>
    </row>
    <row r="10" spans="1:12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</row>
    <row r="11" spans="1:12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</row>
    <row r="12" spans="1:12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</row>
    <row r="13" spans="1:12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</row>
    <row r="14" spans="1:12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</row>
    <row r="15" spans="1:12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</row>
    <row r="16" spans="1:12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</row>
    <row r="17" spans="1:9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</row>
    <row r="18" spans="1:9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</row>
    <row r="19" spans="1:9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</row>
    <row r="20" spans="1:9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</row>
    <row r="21" spans="1:9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</row>
    <row r="22" spans="1:9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</row>
    <row r="23" spans="1:9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</row>
    <row r="24" spans="1:9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</row>
    <row r="25" spans="1:9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</row>
    <row r="26" spans="1:9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</row>
    <row r="27" spans="1:9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</row>
    <row r="28" spans="1:9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</row>
    <row r="29" spans="1:9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</row>
    <row r="30" spans="1:9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</row>
    <row r="31" spans="1:9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</row>
    <row r="32" spans="1:9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</row>
    <row r="53" spans="1:9" x14ac:dyDescent="0.7">
      <c r="A53" t="s">
        <v>35</v>
      </c>
      <c r="B53" t="s">
        <v>95</v>
      </c>
      <c r="C53" t="s">
        <v>15</v>
      </c>
      <c r="D53">
        <v>2019</v>
      </c>
      <c r="E53" s="2">
        <v>22000</v>
      </c>
      <c r="F53" s="2">
        <v>3000</v>
      </c>
      <c r="G53" t="s">
        <v>16</v>
      </c>
      <c r="H53" t="s">
        <v>96</v>
      </c>
      <c r="I53" s="2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E31C-0A57-4091-9B56-D68B1B35DF1C}">
  <dimension ref="A1:L173"/>
  <sheetViews>
    <sheetView workbookViewId="0">
      <selection activeCell="K4" sqref="K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12.625" bestFit="1" customWidth="1"/>
  </cols>
  <sheetData>
    <row r="1" spans="1:12" x14ac:dyDescent="0.7">
      <c r="A1" s="11" t="s">
        <v>106</v>
      </c>
      <c r="B1" s="19"/>
    </row>
    <row r="3" spans="1:12" x14ac:dyDescent="0.7">
      <c r="A3" s="18" t="s">
        <v>0</v>
      </c>
      <c r="B3" s="18" t="s">
        <v>1</v>
      </c>
      <c r="C3" s="18" t="s">
        <v>2</v>
      </c>
      <c r="D3" s="18" t="s">
        <v>3</v>
      </c>
      <c r="E3" s="18" t="s">
        <v>97</v>
      </c>
      <c r="F3" s="18" t="s">
        <v>4</v>
      </c>
      <c r="G3" s="18" t="s">
        <v>5</v>
      </c>
      <c r="H3" s="18" t="s">
        <v>6</v>
      </c>
      <c r="I3" s="18" t="s">
        <v>7</v>
      </c>
      <c r="K3" s="4" t="s">
        <v>98</v>
      </c>
      <c r="L3" s="5"/>
    </row>
    <row r="4" spans="1:12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K4" s="15">
        <f>CORREL(F4:F173,I4:I173)</f>
        <v>0.50143410960103474</v>
      </c>
      <c r="L4" s="7"/>
    </row>
    <row r="5" spans="1:12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</row>
    <row r="6" spans="1:12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K6" s="16" t="s">
        <v>105</v>
      </c>
      <c r="L6" s="16"/>
    </row>
    <row r="7" spans="1:12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K7" s="8" t="s">
        <v>100</v>
      </c>
      <c r="L7">
        <f>COUNT(I4:I53)</f>
        <v>50</v>
      </c>
    </row>
    <row r="8" spans="1:12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K8" s="8" t="s">
        <v>104</v>
      </c>
      <c r="L8" s="10">
        <f>K4*SQRT(L7-2)/SQRT(1-K4^2)</f>
        <v>4.0153191629598615</v>
      </c>
    </row>
    <row r="9" spans="1:12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K9" s="17" t="s">
        <v>101</v>
      </c>
      <c r="L9" s="14">
        <f>_xlfn.T.DIST.2T(L8,L7-2)</f>
        <v>2.0769055754832474E-4</v>
      </c>
    </row>
    <row r="10" spans="1:12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</row>
    <row r="11" spans="1:12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</row>
    <row r="12" spans="1:12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</row>
    <row r="13" spans="1:12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</row>
    <row r="14" spans="1:12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</row>
    <row r="15" spans="1:12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</row>
    <row r="16" spans="1:12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</row>
    <row r="17" spans="1:9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</row>
    <row r="18" spans="1:9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</row>
    <row r="19" spans="1:9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</row>
    <row r="20" spans="1:9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</row>
    <row r="21" spans="1:9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</row>
    <row r="22" spans="1:9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</row>
    <row r="23" spans="1:9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</row>
    <row r="24" spans="1:9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</row>
    <row r="25" spans="1:9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</row>
    <row r="26" spans="1:9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</row>
    <row r="27" spans="1:9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</row>
    <row r="28" spans="1:9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</row>
    <row r="29" spans="1:9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</row>
    <row r="30" spans="1:9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</row>
    <row r="31" spans="1:9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</row>
    <row r="32" spans="1:9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</row>
    <row r="53" spans="1:9" x14ac:dyDescent="0.7">
      <c r="A53" t="s">
        <v>35</v>
      </c>
      <c r="B53" t="s">
        <v>95</v>
      </c>
      <c r="C53" t="s">
        <v>15</v>
      </c>
      <c r="D53">
        <v>2019</v>
      </c>
      <c r="E53" s="2">
        <v>22000</v>
      </c>
      <c r="F53" s="2">
        <v>3000</v>
      </c>
      <c r="G53" t="s">
        <v>16</v>
      </c>
      <c r="H53" t="s">
        <v>96</v>
      </c>
      <c r="I53" s="2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E839-009B-4E56-8F78-DF4C2BC2FFDA}">
  <dimension ref="A1:N205"/>
  <sheetViews>
    <sheetView zoomScaleNormal="100" workbookViewId="0">
      <selection activeCell="A6" sqref="A6"/>
    </sheetView>
  </sheetViews>
  <sheetFormatPr defaultRowHeight="17.649999999999999" x14ac:dyDescent="0.7"/>
  <cols>
    <col min="2" max="3" width="9" customWidth="1"/>
  </cols>
  <sheetData>
    <row r="1" spans="1:14" x14ac:dyDescent="0.7">
      <c r="A1" s="11" t="s">
        <v>102</v>
      </c>
      <c r="B1" s="11"/>
      <c r="C1" s="11"/>
    </row>
    <row r="3" spans="1:14" x14ac:dyDescent="0.7">
      <c r="A3" s="12" t="s">
        <v>99</v>
      </c>
      <c r="B3" s="6">
        <v>0.05</v>
      </c>
    </row>
    <row r="4" spans="1:14" x14ac:dyDescent="0.7">
      <c r="N4" t="s">
        <v>114</v>
      </c>
    </row>
    <row r="5" spans="1:14" x14ac:dyDescent="0.7">
      <c r="A5" s="13" t="s">
        <v>100</v>
      </c>
      <c r="B5" s="13" t="s">
        <v>104</v>
      </c>
      <c r="C5" s="13" t="s">
        <v>103</v>
      </c>
      <c r="N5" t="s">
        <v>115</v>
      </c>
    </row>
    <row r="6" spans="1:14" x14ac:dyDescent="0.7">
      <c r="B6" s="9"/>
      <c r="C6" s="9"/>
      <c r="N6" t="s">
        <v>116</v>
      </c>
    </row>
    <row r="7" spans="1:14" x14ac:dyDescent="0.7">
      <c r="B7" s="9"/>
      <c r="C7" s="9"/>
      <c r="N7" t="s">
        <v>117</v>
      </c>
    </row>
    <row r="8" spans="1:14" x14ac:dyDescent="0.7">
      <c r="B8" s="9"/>
      <c r="C8" s="9"/>
      <c r="N8" t="s">
        <v>118</v>
      </c>
    </row>
    <row r="9" spans="1:14" x14ac:dyDescent="0.7">
      <c r="B9" s="9"/>
      <c r="C9" s="9"/>
      <c r="N9" t="s">
        <v>119</v>
      </c>
    </row>
    <row r="10" spans="1:14" x14ac:dyDescent="0.7">
      <c r="B10" s="9"/>
      <c r="C10" s="9"/>
    </row>
    <row r="11" spans="1:14" x14ac:dyDescent="0.7">
      <c r="B11" s="9"/>
      <c r="C11" s="9"/>
    </row>
    <row r="12" spans="1:14" x14ac:dyDescent="0.7">
      <c r="B12" s="9"/>
      <c r="C12" s="9"/>
    </row>
    <row r="13" spans="1:14" x14ac:dyDescent="0.7">
      <c r="B13" s="9"/>
      <c r="C13" s="9"/>
    </row>
    <row r="14" spans="1:14" x14ac:dyDescent="0.7">
      <c r="B14" s="9"/>
      <c r="C14" s="9"/>
    </row>
    <row r="15" spans="1:14" x14ac:dyDescent="0.7">
      <c r="B15" s="9"/>
      <c r="C15" s="9"/>
    </row>
    <row r="16" spans="1:14" x14ac:dyDescent="0.7">
      <c r="B16" s="9"/>
      <c r="C16" s="9"/>
    </row>
    <row r="17" spans="2:3" x14ac:dyDescent="0.7">
      <c r="B17" s="9"/>
      <c r="C17" s="9"/>
    </row>
    <row r="18" spans="2:3" x14ac:dyDescent="0.7">
      <c r="B18" s="9"/>
      <c r="C18" s="9"/>
    </row>
    <row r="19" spans="2:3" x14ac:dyDescent="0.7">
      <c r="B19" s="9"/>
      <c r="C19" s="9"/>
    </row>
    <row r="20" spans="2:3" x14ac:dyDescent="0.7">
      <c r="B20" s="9"/>
      <c r="C20" s="9"/>
    </row>
    <row r="21" spans="2:3" x14ac:dyDescent="0.7">
      <c r="B21" s="9"/>
      <c r="C21" s="9"/>
    </row>
    <row r="22" spans="2:3" x14ac:dyDescent="0.7">
      <c r="B22" s="9"/>
      <c r="C22" s="9"/>
    </row>
    <row r="23" spans="2:3" x14ac:dyDescent="0.7">
      <c r="B23" s="9"/>
      <c r="C23" s="9"/>
    </row>
    <row r="24" spans="2:3" x14ac:dyDescent="0.7">
      <c r="B24" s="9"/>
      <c r="C24" s="9"/>
    </row>
    <row r="25" spans="2:3" x14ac:dyDescent="0.7">
      <c r="B25" s="9"/>
      <c r="C25" s="9"/>
    </row>
    <row r="26" spans="2:3" x14ac:dyDescent="0.7">
      <c r="B26" s="9"/>
      <c r="C26" s="9"/>
    </row>
    <row r="27" spans="2:3" x14ac:dyDescent="0.7">
      <c r="B27" s="9"/>
      <c r="C27" s="9"/>
    </row>
    <row r="28" spans="2:3" x14ac:dyDescent="0.7">
      <c r="B28" s="9"/>
      <c r="C28" s="9"/>
    </row>
    <row r="29" spans="2:3" x14ac:dyDescent="0.7">
      <c r="B29" s="9"/>
      <c r="C29" s="9"/>
    </row>
    <row r="30" spans="2:3" x14ac:dyDescent="0.7">
      <c r="B30" s="9"/>
      <c r="C30" s="9"/>
    </row>
    <row r="31" spans="2:3" x14ac:dyDescent="0.7">
      <c r="B31" s="9"/>
      <c r="C31" s="9"/>
    </row>
    <row r="32" spans="2:3" x14ac:dyDescent="0.7">
      <c r="B32" s="9"/>
      <c r="C32" s="9"/>
    </row>
    <row r="33" spans="2:3" x14ac:dyDescent="0.7">
      <c r="B33" s="9"/>
      <c r="C33" s="9"/>
    </row>
    <row r="34" spans="2:3" x14ac:dyDescent="0.7">
      <c r="B34" s="9"/>
      <c r="C34" s="9"/>
    </row>
    <row r="35" spans="2:3" x14ac:dyDescent="0.7">
      <c r="B35" s="9"/>
      <c r="C35" s="9"/>
    </row>
    <row r="36" spans="2:3" x14ac:dyDescent="0.7">
      <c r="B36" s="9"/>
      <c r="C36" s="9"/>
    </row>
    <row r="37" spans="2:3" x14ac:dyDescent="0.7">
      <c r="B37" s="9"/>
      <c r="C37" s="9"/>
    </row>
    <row r="38" spans="2:3" x14ac:dyDescent="0.7">
      <c r="B38" s="9"/>
      <c r="C38" s="9"/>
    </row>
    <row r="39" spans="2:3" x14ac:dyDescent="0.7">
      <c r="B39" s="9"/>
      <c r="C39" s="9"/>
    </row>
    <row r="40" spans="2:3" x14ac:dyDescent="0.7">
      <c r="B40" s="9"/>
      <c r="C40" s="9"/>
    </row>
    <row r="41" spans="2:3" x14ac:dyDescent="0.7">
      <c r="B41" s="9"/>
      <c r="C41" s="9"/>
    </row>
    <row r="42" spans="2:3" x14ac:dyDescent="0.7">
      <c r="B42" s="9"/>
      <c r="C42" s="9"/>
    </row>
    <row r="43" spans="2:3" x14ac:dyDescent="0.7">
      <c r="B43" s="9"/>
      <c r="C43" s="9"/>
    </row>
    <row r="44" spans="2:3" x14ac:dyDescent="0.7">
      <c r="B44" s="9"/>
      <c r="C44" s="9"/>
    </row>
    <row r="45" spans="2:3" x14ac:dyDescent="0.7">
      <c r="B45" s="9"/>
      <c r="C45" s="9"/>
    </row>
    <row r="46" spans="2:3" x14ac:dyDescent="0.7">
      <c r="B46" s="9"/>
      <c r="C46" s="9"/>
    </row>
    <row r="47" spans="2:3" x14ac:dyDescent="0.7">
      <c r="B47" s="9"/>
      <c r="C47" s="9"/>
    </row>
    <row r="48" spans="2:3" x14ac:dyDescent="0.7">
      <c r="B48" s="9"/>
      <c r="C48" s="9"/>
    </row>
    <row r="49" spans="2:3" x14ac:dyDescent="0.7">
      <c r="B49" s="9"/>
      <c r="C49" s="9"/>
    </row>
    <row r="50" spans="2:3" x14ac:dyDescent="0.7">
      <c r="B50" s="9"/>
      <c r="C50" s="9"/>
    </row>
    <row r="51" spans="2:3" x14ac:dyDescent="0.7">
      <c r="B51" s="9"/>
      <c r="C51" s="9"/>
    </row>
    <row r="52" spans="2:3" x14ac:dyDescent="0.7">
      <c r="B52" s="9"/>
      <c r="C52" s="9"/>
    </row>
    <row r="53" spans="2:3" x14ac:dyDescent="0.7">
      <c r="B53" s="9"/>
      <c r="C53" s="9"/>
    </row>
    <row r="54" spans="2:3" x14ac:dyDescent="0.7">
      <c r="B54" s="9"/>
      <c r="C54" s="9"/>
    </row>
    <row r="55" spans="2:3" x14ac:dyDescent="0.7">
      <c r="B55" s="9"/>
      <c r="C55" s="9"/>
    </row>
    <row r="56" spans="2:3" x14ac:dyDescent="0.7">
      <c r="B56" s="9"/>
      <c r="C56" s="9"/>
    </row>
    <row r="57" spans="2:3" x14ac:dyDescent="0.7">
      <c r="B57" s="9"/>
      <c r="C57" s="9"/>
    </row>
    <row r="58" spans="2:3" x14ac:dyDescent="0.7">
      <c r="B58" s="9"/>
      <c r="C58" s="9"/>
    </row>
    <row r="59" spans="2:3" x14ac:dyDescent="0.7">
      <c r="B59" s="9"/>
      <c r="C59" s="9"/>
    </row>
    <row r="60" spans="2:3" x14ac:dyDescent="0.7">
      <c r="B60" s="9"/>
      <c r="C60" s="9"/>
    </row>
    <row r="61" spans="2:3" x14ac:dyDescent="0.7">
      <c r="B61" s="9"/>
      <c r="C61" s="9"/>
    </row>
    <row r="62" spans="2:3" x14ac:dyDescent="0.7">
      <c r="B62" s="9"/>
      <c r="C62" s="9"/>
    </row>
    <row r="63" spans="2:3" x14ac:dyDescent="0.7">
      <c r="B63" s="9"/>
      <c r="C63" s="9"/>
    </row>
    <row r="64" spans="2:3" x14ac:dyDescent="0.7">
      <c r="B64" s="9"/>
      <c r="C64" s="9"/>
    </row>
    <row r="65" spans="2:3" x14ac:dyDescent="0.7">
      <c r="B65" s="9"/>
      <c r="C65" s="9"/>
    </row>
    <row r="66" spans="2:3" x14ac:dyDescent="0.7">
      <c r="B66" s="9"/>
      <c r="C66" s="9"/>
    </row>
    <row r="67" spans="2:3" x14ac:dyDescent="0.7">
      <c r="B67" s="9"/>
      <c r="C67" s="9"/>
    </row>
    <row r="68" spans="2:3" x14ac:dyDescent="0.7">
      <c r="B68" s="9"/>
      <c r="C68" s="9"/>
    </row>
    <row r="69" spans="2:3" x14ac:dyDescent="0.7">
      <c r="B69" s="9"/>
      <c r="C69" s="9"/>
    </row>
    <row r="70" spans="2:3" x14ac:dyDescent="0.7">
      <c r="B70" s="9"/>
      <c r="C70" s="9"/>
    </row>
    <row r="71" spans="2:3" x14ac:dyDescent="0.7">
      <c r="B71" s="9"/>
      <c r="C71" s="9"/>
    </row>
    <row r="72" spans="2:3" x14ac:dyDescent="0.7">
      <c r="B72" s="9"/>
      <c r="C72" s="9"/>
    </row>
    <row r="73" spans="2:3" x14ac:dyDescent="0.7">
      <c r="B73" s="9"/>
      <c r="C73" s="9"/>
    </row>
    <row r="74" spans="2:3" x14ac:dyDescent="0.7">
      <c r="B74" s="9"/>
      <c r="C74" s="9"/>
    </row>
    <row r="75" spans="2:3" x14ac:dyDescent="0.7">
      <c r="B75" s="9"/>
      <c r="C75" s="9"/>
    </row>
    <row r="76" spans="2:3" x14ac:dyDescent="0.7">
      <c r="B76" s="9"/>
      <c r="C76" s="9"/>
    </row>
    <row r="77" spans="2:3" x14ac:dyDescent="0.7">
      <c r="B77" s="9"/>
      <c r="C77" s="9"/>
    </row>
    <row r="78" spans="2:3" x14ac:dyDescent="0.7">
      <c r="B78" s="9"/>
      <c r="C78" s="9"/>
    </row>
    <row r="79" spans="2:3" x14ac:dyDescent="0.7">
      <c r="B79" s="9"/>
      <c r="C79" s="9"/>
    </row>
    <row r="80" spans="2:3" x14ac:dyDescent="0.7">
      <c r="B80" s="9"/>
      <c r="C80" s="9"/>
    </row>
    <row r="81" spans="2:3" x14ac:dyDescent="0.7">
      <c r="B81" s="9"/>
      <c r="C81" s="9"/>
    </row>
    <row r="82" spans="2:3" x14ac:dyDescent="0.7">
      <c r="B82" s="9"/>
      <c r="C82" s="9"/>
    </row>
    <row r="83" spans="2:3" x14ac:dyDescent="0.7">
      <c r="B83" s="9"/>
      <c r="C83" s="9"/>
    </row>
    <row r="84" spans="2:3" x14ac:dyDescent="0.7">
      <c r="B84" s="9"/>
      <c r="C84" s="9"/>
    </row>
    <row r="85" spans="2:3" x14ac:dyDescent="0.7">
      <c r="B85" s="9"/>
      <c r="C85" s="9"/>
    </row>
    <row r="86" spans="2:3" x14ac:dyDescent="0.7">
      <c r="B86" s="9"/>
      <c r="C86" s="9"/>
    </row>
    <row r="87" spans="2:3" x14ac:dyDescent="0.7">
      <c r="B87" s="9"/>
      <c r="C87" s="9"/>
    </row>
    <row r="88" spans="2:3" x14ac:dyDescent="0.7">
      <c r="B88" s="9"/>
      <c r="C88" s="9"/>
    </row>
    <row r="89" spans="2:3" x14ac:dyDescent="0.7">
      <c r="B89" s="9"/>
      <c r="C89" s="9"/>
    </row>
    <row r="90" spans="2:3" x14ac:dyDescent="0.7">
      <c r="B90" s="9"/>
      <c r="C90" s="9"/>
    </row>
    <row r="91" spans="2:3" x14ac:dyDescent="0.7">
      <c r="B91" s="9"/>
      <c r="C91" s="9"/>
    </row>
    <row r="92" spans="2:3" x14ac:dyDescent="0.7">
      <c r="B92" s="9"/>
      <c r="C92" s="9"/>
    </row>
    <row r="93" spans="2:3" x14ac:dyDescent="0.7">
      <c r="B93" s="9"/>
      <c r="C93" s="9"/>
    </row>
    <row r="94" spans="2:3" x14ac:dyDescent="0.7">
      <c r="B94" s="9"/>
      <c r="C94" s="9"/>
    </row>
    <row r="95" spans="2:3" x14ac:dyDescent="0.7">
      <c r="B95" s="9"/>
      <c r="C95" s="9"/>
    </row>
    <row r="96" spans="2:3" x14ac:dyDescent="0.7">
      <c r="B96" s="9"/>
      <c r="C96" s="9"/>
    </row>
    <row r="97" spans="2:3" x14ac:dyDescent="0.7">
      <c r="B97" s="9"/>
      <c r="C97" s="9"/>
    </row>
    <row r="98" spans="2:3" x14ac:dyDescent="0.7">
      <c r="B98" s="9"/>
      <c r="C98" s="9"/>
    </row>
    <row r="99" spans="2:3" x14ac:dyDescent="0.7">
      <c r="B99" s="9"/>
      <c r="C99" s="9"/>
    </row>
    <row r="100" spans="2:3" x14ac:dyDescent="0.7">
      <c r="B100" s="9"/>
      <c r="C100" s="9"/>
    </row>
    <row r="101" spans="2:3" x14ac:dyDescent="0.7">
      <c r="B101" s="9"/>
      <c r="C101" s="9"/>
    </row>
    <row r="102" spans="2:3" x14ac:dyDescent="0.7">
      <c r="B102" s="9"/>
      <c r="C102" s="9"/>
    </row>
    <row r="103" spans="2:3" x14ac:dyDescent="0.7">
      <c r="B103" s="9"/>
      <c r="C103" s="9"/>
    </row>
    <row r="104" spans="2:3" x14ac:dyDescent="0.7">
      <c r="B104" s="9"/>
      <c r="C104" s="9"/>
    </row>
    <row r="105" spans="2:3" x14ac:dyDescent="0.7">
      <c r="B105" s="9"/>
      <c r="C105" s="9"/>
    </row>
    <row r="106" spans="2:3" x14ac:dyDescent="0.7">
      <c r="B106" s="9"/>
      <c r="C106" s="9"/>
    </row>
    <row r="107" spans="2:3" x14ac:dyDescent="0.7">
      <c r="B107" s="9"/>
      <c r="C107" s="9"/>
    </row>
    <row r="108" spans="2:3" x14ac:dyDescent="0.7">
      <c r="B108" s="9"/>
      <c r="C108" s="9"/>
    </row>
    <row r="109" spans="2:3" x14ac:dyDescent="0.7">
      <c r="B109" s="9"/>
      <c r="C109" s="9"/>
    </row>
    <row r="110" spans="2:3" x14ac:dyDescent="0.7">
      <c r="B110" s="9"/>
      <c r="C110" s="9"/>
    </row>
    <row r="111" spans="2:3" x14ac:dyDescent="0.7">
      <c r="B111" s="9"/>
      <c r="C111" s="9"/>
    </row>
    <row r="112" spans="2:3" x14ac:dyDescent="0.7">
      <c r="B112" s="9"/>
      <c r="C112" s="9"/>
    </row>
    <row r="113" spans="2:3" x14ac:dyDescent="0.7">
      <c r="B113" s="9"/>
      <c r="C113" s="9"/>
    </row>
    <row r="114" spans="2:3" x14ac:dyDescent="0.7">
      <c r="B114" s="9"/>
      <c r="C114" s="9"/>
    </row>
    <row r="115" spans="2:3" x14ac:dyDescent="0.7">
      <c r="B115" s="9"/>
      <c r="C115" s="9"/>
    </row>
    <row r="116" spans="2:3" x14ac:dyDescent="0.7">
      <c r="B116" s="9"/>
      <c r="C116" s="9"/>
    </row>
    <row r="117" spans="2:3" x14ac:dyDescent="0.7">
      <c r="B117" s="9"/>
      <c r="C117" s="9"/>
    </row>
    <row r="118" spans="2:3" x14ac:dyDescent="0.7">
      <c r="B118" s="9"/>
      <c r="C118" s="9"/>
    </row>
    <row r="119" spans="2:3" x14ac:dyDescent="0.7">
      <c r="B119" s="9"/>
      <c r="C119" s="9"/>
    </row>
    <row r="120" spans="2:3" x14ac:dyDescent="0.7">
      <c r="B120" s="9"/>
      <c r="C120" s="9"/>
    </row>
    <row r="121" spans="2:3" x14ac:dyDescent="0.7">
      <c r="B121" s="9"/>
      <c r="C121" s="9"/>
    </row>
    <row r="122" spans="2:3" x14ac:dyDescent="0.7">
      <c r="B122" s="9"/>
      <c r="C122" s="9"/>
    </row>
    <row r="123" spans="2:3" x14ac:dyDescent="0.7">
      <c r="B123" s="9"/>
      <c r="C123" s="9"/>
    </row>
    <row r="124" spans="2:3" x14ac:dyDescent="0.7">
      <c r="B124" s="9"/>
      <c r="C124" s="9"/>
    </row>
    <row r="125" spans="2:3" x14ac:dyDescent="0.7">
      <c r="B125" s="9"/>
      <c r="C125" s="9"/>
    </row>
    <row r="126" spans="2:3" x14ac:dyDescent="0.7">
      <c r="B126" s="9"/>
      <c r="C126" s="9"/>
    </row>
    <row r="127" spans="2:3" x14ac:dyDescent="0.7">
      <c r="B127" s="9"/>
      <c r="C127" s="9"/>
    </row>
    <row r="128" spans="2:3" x14ac:dyDescent="0.7">
      <c r="B128" s="9"/>
      <c r="C128" s="9"/>
    </row>
    <row r="129" spans="2:3" x14ac:dyDescent="0.7">
      <c r="B129" s="9"/>
      <c r="C129" s="9"/>
    </row>
    <row r="130" spans="2:3" x14ac:dyDescent="0.7">
      <c r="B130" s="9"/>
      <c r="C130" s="9"/>
    </row>
    <row r="131" spans="2:3" x14ac:dyDescent="0.7">
      <c r="B131" s="9"/>
      <c r="C131" s="9"/>
    </row>
    <row r="132" spans="2:3" x14ac:dyDescent="0.7">
      <c r="B132" s="9"/>
      <c r="C132" s="9"/>
    </row>
    <row r="133" spans="2:3" x14ac:dyDescent="0.7">
      <c r="B133" s="9"/>
      <c r="C133" s="9"/>
    </row>
    <row r="134" spans="2:3" x14ac:dyDescent="0.7">
      <c r="B134" s="9"/>
      <c r="C134" s="9"/>
    </row>
    <row r="135" spans="2:3" x14ac:dyDescent="0.7">
      <c r="B135" s="9"/>
      <c r="C135" s="9"/>
    </row>
    <row r="136" spans="2:3" x14ac:dyDescent="0.7">
      <c r="B136" s="9"/>
      <c r="C136" s="9"/>
    </row>
    <row r="137" spans="2:3" x14ac:dyDescent="0.7">
      <c r="B137" s="9"/>
      <c r="C137" s="9"/>
    </row>
    <row r="138" spans="2:3" x14ac:dyDescent="0.7">
      <c r="B138" s="9"/>
      <c r="C138" s="9"/>
    </row>
    <row r="139" spans="2:3" x14ac:dyDescent="0.7">
      <c r="B139" s="9"/>
      <c r="C139" s="9"/>
    </row>
    <row r="140" spans="2:3" x14ac:dyDescent="0.7">
      <c r="B140" s="9"/>
      <c r="C140" s="9"/>
    </row>
    <row r="141" spans="2:3" x14ac:dyDescent="0.7">
      <c r="B141" s="9"/>
      <c r="C141" s="9"/>
    </row>
    <row r="142" spans="2:3" x14ac:dyDescent="0.7">
      <c r="B142" s="9"/>
      <c r="C142" s="9"/>
    </row>
    <row r="143" spans="2:3" x14ac:dyDescent="0.7">
      <c r="B143" s="9"/>
      <c r="C143" s="9"/>
    </row>
    <row r="144" spans="2:3" x14ac:dyDescent="0.7">
      <c r="B144" s="9"/>
      <c r="C144" s="9"/>
    </row>
    <row r="145" spans="2:3" x14ac:dyDescent="0.7">
      <c r="B145" s="9"/>
      <c r="C145" s="9"/>
    </row>
    <row r="146" spans="2:3" x14ac:dyDescent="0.7">
      <c r="B146" s="9"/>
      <c r="C146" s="9"/>
    </row>
    <row r="147" spans="2:3" x14ac:dyDescent="0.7">
      <c r="B147" s="9"/>
      <c r="C147" s="9"/>
    </row>
    <row r="148" spans="2:3" x14ac:dyDescent="0.7">
      <c r="B148" s="9"/>
      <c r="C148" s="9"/>
    </row>
    <row r="149" spans="2:3" x14ac:dyDescent="0.7">
      <c r="B149" s="9"/>
      <c r="C149" s="9"/>
    </row>
    <row r="150" spans="2:3" x14ac:dyDescent="0.7">
      <c r="B150" s="9"/>
      <c r="C150" s="9"/>
    </row>
    <row r="151" spans="2:3" x14ac:dyDescent="0.7">
      <c r="B151" s="9"/>
      <c r="C151" s="9"/>
    </row>
    <row r="152" spans="2:3" x14ac:dyDescent="0.7">
      <c r="B152" s="9"/>
      <c r="C152" s="9"/>
    </row>
    <row r="153" spans="2:3" x14ac:dyDescent="0.7">
      <c r="B153" s="9"/>
      <c r="C153" s="9"/>
    </row>
    <row r="154" spans="2:3" x14ac:dyDescent="0.7">
      <c r="B154" s="9"/>
      <c r="C154" s="9"/>
    </row>
    <row r="155" spans="2:3" x14ac:dyDescent="0.7">
      <c r="B155" s="9"/>
      <c r="C155" s="9"/>
    </row>
    <row r="156" spans="2:3" x14ac:dyDescent="0.7">
      <c r="B156" s="9"/>
      <c r="C156" s="9"/>
    </row>
    <row r="157" spans="2:3" x14ac:dyDescent="0.7">
      <c r="B157" s="9"/>
      <c r="C157" s="9"/>
    </row>
    <row r="158" spans="2:3" x14ac:dyDescent="0.7">
      <c r="B158" s="9"/>
      <c r="C158" s="9"/>
    </row>
    <row r="159" spans="2:3" x14ac:dyDescent="0.7">
      <c r="B159" s="9"/>
      <c r="C159" s="9"/>
    </row>
    <row r="160" spans="2:3" x14ac:dyDescent="0.7">
      <c r="B160" s="9"/>
      <c r="C160" s="9"/>
    </row>
    <row r="161" spans="2:3" x14ac:dyDescent="0.7">
      <c r="B161" s="9"/>
      <c r="C161" s="9"/>
    </row>
    <row r="162" spans="2:3" x14ac:dyDescent="0.7">
      <c r="B162" s="9"/>
      <c r="C162" s="9"/>
    </row>
    <row r="163" spans="2:3" x14ac:dyDescent="0.7">
      <c r="B163" s="9"/>
      <c r="C163" s="9"/>
    </row>
    <row r="164" spans="2:3" x14ac:dyDescent="0.7">
      <c r="B164" s="9"/>
      <c r="C164" s="9"/>
    </row>
    <row r="165" spans="2:3" x14ac:dyDescent="0.7">
      <c r="B165" s="9"/>
      <c r="C165" s="9"/>
    </row>
    <row r="166" spans="2:3" x14ac:dyDescent="0.7">
      <c r="B166" s="9"/>
      <c r="C166" s="9"/>
    </row>
    <row r="167" spans="2:3" x14ac:dyDescent="0.7">
      <c r="B167" s="9"/>
      <c r="C167" s="9"/>
    </row>
    <row r="168" spans="2:3" x14ac:dyDescent="0.7">
      <c r="B168" s="9"/>
      <c r="C168" s="9"/>
    </row>
    <row r="169" spans="2:3" x14ac:dyDescent="0.7">
      <c r="B169" s="9"/>
      <c r="C169" s="9"/>
    </row>
    <row r="170" spans="2:3" x14ac:dyDescent="0.7">
      <c r="B170" s="9"/>
      <c r="C170" s="9"/>
    </row>
    <row r="171" spans="2:3" x14ac:dyDescent="0.7">
      <c r="B171" s="9"/>
      <c r="C171" s="9"/>
    </row>
    <row r="172" spans="2:3" x14ac:dyDescent="0.7">
      <c r="B172" s="9"/>
      <c r="C172" s="9"/>
    </row>
    <row r="173" spans="2:3" x14ac:dyDescent="0.7">
      <c r="B173" s="9"/>
      <c r="C173" s="9"/>
    </row>
    <row r="174" spans="2:3" x14ac:dyDescent="0.7">
      <c r="B174" s="9"/>
      <c r="C174" s="9"/>
    </row>
    <row r="175" spans="2:3" x14ac:dyDescent="0.7">
      <c r="B175" s="9"/>
      <c r="C175" s="9"/>
    </row>
    <row r="176" spans="2:3" x14ac:dyDescent="0.7">
      <c r="B176" s="9"/>
      <c r="C176" s="9"/>
    </row>
    <row r="177" spans="2:3" x14ac:dyDescent="0.7">
      <c r="B177" s="9"/>
      <c r="C177" s="9"/>
    </row>
    <row r="178" spans="2:3" x14ac:dyDescent="0.7">
      <c r="B178" s="9"/>
      <c r="C178" s="9"/>
    </row>
    <row r="179" spans="2:3" x14ac:dyDescent="0.7">
      <c r="B179" s="9"/>
      <c r="C179" s="9"/>
    </row>
    <row r="180" spans="2:3" x14ac:dyDescent="0.7">
      <c r="B180" s="9"/>
      <c r="C180" s="9"/>
    </row>
    <row r="181" spans="2:3" x14ac:dyDescent="0.7">
      <c r="B181" s="9"/>
      <c r="C181" s="9"/>
    </row>
    <row r="182" spans="2:3" x14ac:dyDescent="0.7">
      <c r="B182" s="9"/>
      <c r="C182" s="9"/>
    </row>
    <row r="183" spans="2:3" x14ac:dyDescent="0.7">
      <c r="B183" s="9"/>
      <c r="C183" s="9"/>
    </row>
    <row r="184" spans="2:3" x14ac:dyDescent="0.7">
      <c r="B184" s="9"/>
      <c r="C184" s="9"/>
    </row>
    <row r="185" spans="2:3" x14ac:dyDescent="0.7">
      <c r="B185" s="9"/>
      <c r="C185" s="9"/>
    </row>
    <row r="186" spans="2:3" x14ac:dyDescent="0.7">
      <c r="B186" s="9"/>
      <c r="C186" s="9"/>
    </row>
    <row r="187" spans="2:3" x14ac:dyDescent="0.7">
      <c r="B187" s="9"/>
      <c r="C187" s="9"/>
    </row>
    <row r="188" spans="2:3" x14ac:dyDescent="0.7">
      <c r="B188" s="9"/>
      <c r="C188" s="9"/>
    </row>
    <row r="189" spans="2:3" x14ac:dyDescent="0.7">
      <c r="B189" s="9"/>
      <c r="C189" s="9"/>
    </row>
    <row r="190" spans="2:3" x14ac:dyDescent="0.7">
      <c r="B190" s="9"/>
      <c r="C190" s="9"/>
    </row>
    <row r="191" spans="2:3" x14ac:dyDescent="0.7">
      <c r="B191" s="9"/>
      <c r="C191" s="9"/>
    </row>
    <row r="192" spans="2:3" x14ac:dyDescent="0.7">
      <c r="B192" s="9"/>
      <c r="C192" s="9"/>
    </row>
    <row r="193" spans="1:3" x14ac:dyDescent="0.7">
      <c r="B193" s="9"/>
      <c r="C193" s="9"/>
    </row>
    <row r="194" spans="1:3" x14ac:dyDescent="0.7">
      <c r="B194" s="9"/>
      <c r="C194" s="9"/>
    </row>
    <row r="195" spans="1:3" x14ac:dyDescent="0.7">
      <c r="B195" s="9"/>
      <c r="C195" s="9"/>
    </row>
    <row r="196" spans="1:3" x14ac:dyDescent="0.7">
      <c r="B196" s="9"/>
      <c r="C196" s="9"/>
    </row>
    <row r="197" spans="1:3" x14ac:dyDescent="0.7">
      <c r="B197" s="9"/>
      <c r="C197" s="9"/>
    </row>
    <row r="198" spans="1:3" x14ac:dyDescent="0.7">
      <c r="B198" s="9"/>
      <c r="C198" s="9"/>
    </row>
    <row r="199" spans="1:3" x14ac:dyDescent="0.7">
      <c r="B199" s="9"/>
      <c r="C199" s="9"/>
    </row>
    <row r="200" spans="1:3" x14ac:dyDescent="0.7">
      <c r="B200" s="9"/>
      <c r="C200" s="9"/>
    </row>
    <row r="201" spans="1:3" x14ac:dyDescent="0.7">
      <c r="B201" s="9"/>
      <c r="C201" s="9"/>
    </row>
    <row r="202" spans="1:3" x14ac:dyDescent="0.7">
      <c r="B202" s="9"/>
      <c r="C202" s="9"/>
    </row>
    <row r="203" spans="1:3" x14ac:dyDescent="0.7">
      <c r="B203" s="9"/>
      <c r="C203" s="9"/>
    </row>
    <row r="204" spans="1:3" x14ac:dyDescent="0.7">
      <c r="B204" s="9"/>
      <c r="C204" s="9"/>
    </row>
    <row r="205" spans="1:3" x14ac:dyDescent="0.7">
      <c r="A205" s="1"/>
      <c r="B205" s="14"/>
      <c r="C205" s="14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394E-32DD-447C-AFDF-8409E3D6F75C}">
  <dimension ref="A1:P205"/>
  <sheetViews>
    <sheetView zoomScaleNormal="100" workbookViewId="0">
      <selection activeCell="B6" sqref="B6"/>
    </sheetView>
  </sheetViews>
  <sheetFormatPr defaultRowHeight="17.649999999999999" x14ac:dyDescent="0.7"/>
  <cols>
    <col min="2" max="3" width="9" customWidth="1"/>
  </cols>
  <sheetData>
    <row r="1" spans="1:16" x14ac:dyDescent="0.7">
      <c r="A1" s="11" t="s">
        <v>102</v>
      </c>
      <c r="B1" s="11"/>
      <c r="C1" s="11"/>
    </row>
    <row r="3" spans="1:16" x14ac:dyDescent="0.7">
      <c r="A3" s="12" t="s">
        <v>99</v>
      </c>
      <c r="B3" s="6">
        <v>0.05</v>
      </c>
    </row>
    <row r="5" spans="1:16" x14ac:dyDescent="0.7">
      <c r="A5" s="13" t="s">
        <v>100</v>
      </c>
      <c r="B5" s="13" t="s">
        <v>104</v>
      </c>
      <c r="C5" s="13" t="s">
        <v>103</v>
      </c>
    </row>
    <row r="6" spans="1:16" x14ac:dyDescent="0.7">
      <c r="A6" cm="1">
        <f t="array" ref="A6:A205">_xlfn.SEQUENCE(200,1,10,10)</f>
        <v>10</v>
      </c>
      <c r="B6" s="9" cm="1">
        <f t="array" ref="B6:B205">B3*SQRT(_xlfn.ANCHORARRAY(A6)-2)/SQRT(1-B3^2)</f>
        <v>0.14159846508095777</v>
      </c>
      <c r="C6" s="9" cm="1">
        <f t="array" ref="C6:C205">_xlfn.T.DIST.2T(_xlfn.ANCHORARRAY(B6),_xlfn.ANCHORARRAY(A6)-2)</f>
        <v>0.89089802758789061</v>
      </c>
      <c r="O6" s="9"/>
      <c r="P6" s="9"/>
    </row>
    <row r="7" spans="1:16" x14ac:dyDescent="0.7">
      <c r="A7">
        <v>20</v>
      </c>
      <c r="B7" s="9">
        <v>0.21239769762143659</v>
      </c>
      <c r="C7" s="9">
        <v>0.83418347902861489</v>
      </c>
    </row>
    <row r="8" spans="1:16" x14ac:dyDescent="0.7">
      <c r="A8">
        <v>30</v>
      </c>
      <c r="B8" s="9">
        <v>0.26490647141300877</v>
      </c>
      <c r="C8" s="9">
        <v>0.79302195781715157</v>
      </c>
    </row>
    <row r="9" spans="1:16" x14ac:dyDescent="0.7">
      <c r="A9">
        <v>40</v>
      </c>
      <c r="B9" s="9">
        <v>0.30860669992418382</v>
      </c>
      <c r="C9" s="9">
        <v>0.75930628951062429</v>
      </c>
    </row>
    <row r="10" spans="1:16" x14ac:dyDescent="0.7">
      <c r="A10">
        <v>50</v>
      </c>
      <c r="B10" s="9">
        <v>0.34684398780964798</v>
      </c>
      <c r="C10" s="9">
        <v>0.73022457310064082</v>
      </c>
    </row>
    <row r="11" spans="1:16" x14ac:dyDescent="0.7">
      <c r="A11">
        <v>60</v>
      </c>
      <c r="B11" s="9">
        <v>0.38126553544911884</v>
      </c>
      <c r="C11" s="9">
        <v>0.70439933494280227</v>
      </c>
    </row>
    <row r="12" spans="1:16" x14ac:dyDescent="0.7">
      <c r="A12">
        <v>70</v>
      </c>
      <c r="B12" s="9">
        <v>0.41282691913549835</v>
      </c>
      <c r="C12" s="9">
        <v>0.6810322301754409</v>
      </c>
    </row>
    <row r="13" spans="1:16" x14ac:dyDescent="0.7">
      <c r="A13">
        <v>80</v>
      </c>
      <c r="B13" s="9">
        <v>0.44214106550343335</v>
      </c>
      <c r="C13" s="9">
        <v>0.65961065315343448</v>
      </c>
    </row>
    <row r="14" spans="1:16" x14ac:dyDescent="0.7">
      <c r="A14">
        <v>90</v>
      </c>
      <c r="B14" s="9">
        <v>0.46962897956377786</v>
      </c>
      <c r="C14" s="9">
        <v>0.63978173933985849</v>
      </c>
    </row>
    <row r="15" spans="1:16" x14ac:dyDescent="0.7">
      <c r="A15">
        <v>100</v>
      </c>
      <c r="B15" s="9">
        <v>0.49559462778335212</v>
      </c>
      <c r="C15" s="9">
        <v>0.6212899778453026</v>
      </c>
    </row>
    <row r="16" spans="1:16" x14ac:dyDescent="0.7">
      <c r="A16">
        <v>110</v>
      </c>
      <c r="B16" s="9">
        <v>0.52026598171447203</v>
      </c>
      <c r="C16" s="9">
        <v>0.60394308396914831</v>
      </c>
    </row>
    <row r="17" spans="1:3" x14ac:dyDescent="0.7">
      <c r="A17">
        <v>120</v>
      </c>
      <c r="B17" s="9">
        <v>0.54381922398066007</v>
      </c>
      <c r="C17" s="9">
        <v>0.58759189375597998</v>
      </c>
    </row>
    <row r="18" spans="1:3" x14ac:dyDescent="0.7">
      <c r="A18">
        <v>130</v>
      </c>
      <c r="B18" s="9">
        <v>0.5663938603238311</v>
      </c>
      <c r="C18" s="9">
        <v>0.57211781772618497</v>
      </c>
    </row>
    <row r="19" spans="1:3" x14ac:dyDescent="0.7">
      <c r="A19">
        <v>140</v>
      </c>
      <c r="B19" s="9">
        <v>0.58810259449702762</v>
      </c>
      <c r="C19" s="9">
        <v>0.55742464268540759</v>
      </c>
    </row>
    <row r="20" spans="1:3" x14ac:dyDescent="0.7">
      <c r="A20">
        <v>150</v>
      </c>
      <c r="B20" s="9">
        <v>0.60903802697018794</v>
      </c>
      <c r="C20" s="9">
        <v>0.54343296862676294</v>
      </c>
    </row>
    <row r="21" spans="1:3" x14ac:dyDescent="0.7">
      <c r="A21">
        <v>160</v>
      </c>
      <c r="B21" s="9">
        <v>0.62927734341651254</v>
      </c>
      <c r="C21" s="9">
        <v>0.5300763127951662</v>
      </c>
    </row>
    <row r="22" spans="1:3" x14ac:dyDescent="0.7">
      <c r="A22">
        <v>170</v>
      </c>
      <c r="B22" s="9">
        <v>0.64888568452305018</v>
      </c>
      <c r="C22" s="9">
        <v>0.51729830730091442</v>
      </c>
    </row>
    <row r="23" spans="1:3" x14ac:dyDescent="0.7">
      <c r="A23">
        <v>180</v>
      </c>
      <c r="B23" s="9">
        <v>0.66791862395096568</v>
      </c>
      <c r="C23" s="9">
        <v>0.50505063643145043</v>
      </c>
    </row>
    <row r="24" spans="1:3" x14ac:dyDescent="0.7">
      <c r="A24">
        <v>190</v>
      </c>
      <c r="B24" s="9">
        <v>0.68642402701402827</v>
      </c>
      <c r="C24" s="9">
        <v>0.49329148775955944</v>
      </c>
    </row>
    <row r="25" spans="1:3" x14ac:dyDescent="0.7">
      <c r="A25">
        <v>200</v>
      </c>
      <c r="B25" s="9">
        <v>0.70444346934566682</v>
      </c>
      <c r="C25" s="9">
        <v>0.48198436848550463</v>
      </c>
    </row>
    <row r="26" spans="1:3" x14ac:dyDescent="0.7">
      <c r="A26">
        <v>210</v>
      </c>
      <c r="B26" s="9">
        <v>0.72201333654259015</v>
      </c>
      <c r="C26" s="9">
        <v>0.47109718674369927</v>
      </c>
    </row>
    <row r="27" spans="1:3" x14ac:dyDescent="0.7">
      <c r="A27">
        <v>220</v>
      </c>
      <c r="B27" s="9">
        <v>0.73916568831823315</v>
      </c>
      <c r="C27" s="9">
        <v>0.46060152863216275</v>
      </c>
    </row>
    <row r="28" spans="1:3" x14ac:dyDescent="0.7">
      <c r="A28">
        <v>230</v>
      </c>
      <c r="B28" s="9">
        <v>0.75592894601845451</v>
      </c>
      <c r="C28" s="9">
        <v>0.45047208216656509</v>
      </c>
    </row>
    <row r="29" spans="1:3" x14ac:dyDescent="0.7">
      <c r="A29">
        <v>240</v>
      </c>
      <c r="B29" s="9">
        <v>0.77232844572123305</v>
      </c>
      <c r="C29" s="9">
        <v>0.44068617313631742</v>
      </c>
    </row>
    <row r="30" spans="1:3" x14ac:dyDescent="0.7">
      <c r="A30">
        <v>250</v>
      </c>
      <c r="B30" s="9">
        <v>0.78838688770918786</v>
      </c>
      <c r="C30" s="9">
        <v>0.43122338731146115</v>
      </c>
    </row>
    <row r="31" spans="1:3" x14ac:dyDescent="0.7">
      <c r="A31">
        <v>260</v>
      </c>
      <c r="B31" s="9">
        <v>0.80412470510075951</v>
      </c>
      <c r="C31" s="9">
        <v>0.42206526008029777</v>
      </c>
    </row>
    <row r="32" spans="1:3" x14ac:dyDescent="0.7">
      <c r="A32">
        <v>270</v>
      </c>
      <c r="B32" s="9">
        <v>0.81956036873130189</v>
      </c>
      <c r="C32" s="9">
        <v>0.41319501931747493</v>
      </c>
    </row>
    <row r="33" spans="1:3" x14ac:dyDescent="0.7">
      <c r="A33">
        <v>280</v>
      </c>
      <c r="B33" s="9">
        <v>0.83471064126234273</v>
      </c>
      <c r="C33" s="9">
        <v>0.40459737069233181</v>
      </c>
    </row>
    <row r="34" spans="1:3" x14ac:dyDescent="0.7">
      <c r="A34">
        <v>290</v>
      </c>
      <c r="B34" s="9">
        <v>0.84959079048574637</v>
      </c>
      <c r="C34" s="9">
        <v>0.39625831712517701</v>
      </c>
    </row>
    <row r="35" spans="1:3" x14ac:dyDescent="0.7">
      <c r="A35">
        <v>300</v>
      </c>
      <c r="B35" s="9">
        <v>0.86421476955661869</v>
      </c>
      <c r="C35" s="9">
        <v>0.3881650059520404</v>
      </c>
    </row>
    <row r="36" spans="1:3" x14ac:dyDescent="0.7">
      <c r="A36">
        <v>310</v>
      </c>
      <c r="B36" s="9">
        <v>0.87859537021395906</v>
      </c>
      <c r="C36" s="9">
        <v>0.38030559874892966</v>
      </c>
    </row>
    <row r="37" spans="1:3" x14ac:dyDescent="0.7">
      <c r="A37">
        <v>320</v>
      </c>
      <c r="B37" s="9">
        <v>0.89274435377828487</v>
      </c>
      <c r="C37" s="9">
        <v>0.37266915982138993</v>
      </c>
    </row>
    <row r="38" spans="1:3" x14ac:dyDescent="0.7">
      <c r="A38">
        <v>330</v>
      </c>
      <c r="B38" s="9">
        <v>0.9066725637431694</v>
      </c>
      <c r="C38" s="9">
        <v>0.36524556017329279</v>
      </c>
    </row>
    <row r="39" spans="1:3" x14ac:dyDescent="0.7">
      <c r="A39">
        <v>340</v>
      </c>
      <c r="B39" s="9">
        <v>0.9203900230262253</v>
      </c>
      <c r="C39" s="9">
        <v>0.35802539439367631</v>
      </c>
    </row>
    <row r="40" spans="1:3" x14ac:dyDescent="0.7">
      <c r="A40">
        <v>350</v>
      </c>
      <c r="B40" s="9">
        <v>0.93390601835935272</v>
      </c>
      <c r="C40" s="9">
        <v>0.35099990838790329</v>
      </c>
    </row>
    <row r="41" spans="1:3" x14ac:dyDescent="0.7">
      <c r="A41">
        <v>360</v>
      </c>
      <c r="B41" s="9">
        <v>0.94722917383779082</v>
      </c>
      <c r="C41" s="9">
        <v>0.34416093626269928</v>
      </c>
    </row>
    <row r="42" spans="1:3" x14ac:dyDescent="0.7">
      <c r="A42">
        <v>370</v>
      </c>
      <c r="B42" s="9">
        <v>0.96036751528309583</v>
      </c>
      <c r="C42" s="9">
        <v>0.33750084497830013</v>
      </c>
    </row>
    <row r="43" spans="1:3" x14ac:dyDescent="0.7">
      <c r="A43">
        <v>380</v>
      </c>
      <c r="B43" s="9">
        <v>0.97332852678457527</v>
      </c>
      <c r="C43" s="9">
        <v>0.33101248562329222</v>
      </c>
    </row>
    <row r="44" spans="1:3" x14ac:dyDescent="0.7">
      <c r="A44">
        <v>390</v>
      </c>
      <c r="B44" s="9">
        <v>0.98611920055043834</v>
      </c>
      <c r="C44" s="9">
        <v>0.32468915036239077</v>
      </c>
    </row>
    <row r="45" spans="1:3" x14ac:dyDescent="0.7">
      <c r="A45">
        <v>400</v>
      </c>
      <c r="B45" s="9">
        <v>0.99874608101150497</v>
      </c>
      <c r="C45" s="9">
        <v>0.31852453426477112</v>
      </c>
    </row>
    <row r="46" spans="1:3" x14ac:dyDescent="0.7">
      <c r="A46">
        <v>410</v>
      </c>
      <c r="B46" s="9">
        <v>1.0112153039671836</v>
      </c>
      <c r="C46" s="9">
        <v>0.31251270134855891</v>
      </c>
    </row>
    <row r="47" spans="1:3" x14ac:dyDescent="0.7">
      <c r="A47">
        <v>420</v>
      </c>
      <c r="B47" s="9">
        <v>1.023532631438318</v>
      </c>
      <c r="C47" s="9">
        <v>0.30664805428174652</v>
      </c>
    </row>
    <row r="48" spans="1:3" x14ac:dyDescent="0.7">
      <c r="A48">
        <v>430</v>
      </c>
      <c r="B48" s="9">
        <v>1.0357034827887044</v>
      </c>
      <c r="C48" s="9">
        <v>0.30092530726585853</v>
      </c>
    </row>
    <row r="49" spans="1:3" x14ac:dyDescent="0.7">
      <c r="A49">
        <v>440</v>
      </c>
      <c r="B49" s="9">
        <v>1.0477329625922129</v>
      </c>
      <c r="C49" s="9">
        <v>0.29533946169980546</v>
      </c>
    </row>
    <row r="50" spans="1:3" x14ac:dyDescent="0.7">
      <c r="A50">
        <v>450</v>
      </c>
      <c r="B50" s="9">
        <v>1.0596258856520351</v>
      </c>
      <c r="C50" s="9">
        <v>0.28988578428040696</v>
      </c>
    </row>
    <row r="51" spans="1:3" x14ac:dyDescent="0.7">
      <c r="A51">
        <v>460</v>
      </c>
      <c r="B51" s="9">
        <v>1.0713867995198856</v>
      </c>
      <c r="C51" s="9">
        <v>0.28455978724533182</v>
      </c>
    </row>
    <row r="52" spans="1:3" x14ac:dyDescent="0.7">
      <c r="A52">
        <v>470</v>
      </c>
      <c r="B52" s="9">
        <v>1.0830200048138852</v>
      </c>
      <c r="C52" s="9">
        <v>0.27935721050544904</v>
      </c>
    </row>
    <row r="53" spans="1:3" x14ac:dyDescent="0.7">
      <c r="A53">
        <v>480</v>
      </c>
      <c r="B53" s="9">
        <v>1.094529573592542</v>
      </c>
      <c r="C53" s="9">
        <v>0.27427400544831854</v>
      </c>
    </row>
    <row r="54" spans="1:3" x14ac:dyDescent="0.7">
      <c r="A54">
        <v>490</v>
      </c>
      <c r="B54" s="9">
        <v>1.1059193660074298</v>
      </c>
      <c r="C54" s="9">
        <v>0.26930632022384937</v>
      </c>
    </row>
    <row r="55" spans="1:3" x14ac:dyDescent="0.7">
      <c r="A55">
        <v>500</v>
      </c>
      <c r="B55" s="9">
        <v>1.1171930454276375</v>
      </c>
      <c r="C55" s="9">
        <v>0.26445048634802587</v>
      </c>
    </row>
    <row r="56" spans="1:3" x14ac:dyDescent="0.7">
      <c r="A56">
        <v>510</v>
      </c>
      <c r="B56" s="9">
        <v>1.128354092203987</v>
      </c>
      <c r="C56" s="9">
        <v>0.2597030064817421</v>
      </c>
    </row>
    <row r="57" spans="1:3" x14ac:dyDescent="0.7">
      <c r="A57">
        <v>520</v>
      </c>
      <c r="B57" s="9">
        <v>1.1394058162196152</v>
      </c>
      <c r="C57" s="9">
        <v>0.25506054325984601</v>
      </c>
    </row>
    <row r="58" spans="1:3" x14ac:dyDescent="0.7">
      <c r="A58">
        <v>530</v>
      </c>
      <c r="B58" s="9">
        <v>1.1503513683552047</v>
      </c>
      <c r="C58" s="9">
        <v>0.25051990906096355</v>
      </c>
    </row>
    <row r="59" spans="1:3" x14ac:dyDescent="0.7">
      <c r="A59">
        <v>540</v>
      </c>
      <c r="B59" s="9">
        <v>1.1611937509814181</v>
      </c>
      <c r="C59" s="9">
        <v>0.24607805662196852</v>
      </c>
    </row>
    <row r="60" spans="1:3" x14ac:dyDescent="0.7">
      <c r="A60">
        <v>550</v>
      </c>
      <c r="B60" s="9">
        <v>1.17193582757756</v>
      </c>
      <c r="C60" s="9">
        <v>0.24173207041242048</v>
      </c>
    </row>
    <row r="61" spans="1:3" x14ac:dyDescent="0.7">
      <c r="A61">
        <v>560</v>
      </c>
      <c r="B61" s="9">
        <v>1.1825803315637815</v>
      </c>
      <c r="C61" s="9">
        <v>0.23747915869420477</v>
      </c>
    </row>
    <row r="62" spans="1:3" x14ac:dyDescent="0.7">
      <c r="A62">
        <v>570</v>
      </c>
      <c r="B62" s="9">
        <v>1.1931298744240326</v>
      </c>
      <c r="C62" s="9">
        <v>0.23331664620019224</v>
      </c>
    </row>
    <row r="63" spans="1:3" x14ac:dyDescent="0.7">
      <c r="A63">
        <v>580</v>
      </c>
      <c r="B63" s="9">
        <v>1.2035869531881409</v>
      </c>
      <c r="C63" s="9">
        <v>0.22924196737321259</v>
      </c>
    </row>
    <row r="64" spans="1:3" x14ac:dyDescent="0.7">
      <c r="A64">
        <v>590</v>
      </c>
      <c r="B64" s="9">
        <v>1.2139539573337681</v>
      </c>
      <c r="C64" s="9">
        <v>0.22525266011313325</v>
      </c>
    </row>
    <row r="65" spans="1:3" x14ac:dyDescent="0.7">
      <c r="A65">
        <v>600</v>
      </c>
      <c r="B65" s="9">
        <v>1.2242331751622808</v>
      </c>
      <c r="C65" s="9">
        <v>0.2213463599855327</v>
      </c>
    </row>
    <row r="66" spans="1:3" x14ac:dyDescent="0.7">
      <c r="A66">
        <v>610</v>
      </c>
      <c r="B66" s="9">
        <v>1.2344267996967353</v>
      </c>
      <c r="C66" s="9">
        <v>0.21752079485043432</v>
      </c>
    </row>
    <row r="67" spans="1:3" x14ac:dyDescent="0.7">
      <c r="A67">
        <v>620</v>
      </c>
      <c r="B67" s="9">
        <v>1.244536934145037</v>
      </c>
      <c r="C67" s="9">
        <v>0.21377377987394053</v>
      </c>
    </row>
    <row r="68" spans="1:3" x14ac:dyDescent="0.7">
      <c r="A68">
        <v>630</v>
      </c>
      <c r="B68" s="9">
        <v>1.2545655969668275</v>
      </c>
      <c r="C68" s="9">
        <v>0.2101032128894606</v>
      </c>
    </row>
    <row r="69" spans="1:3" x14ac:dyDescent="0.7">
      <c r="A69">
        <v>640</v>
      </c>
      <c r="B69" s="9">
        <v>1.2645147265786731</v>
      </c>
      <c r="C69" s="9">
        <v>0.2065070700786143</v>
      </c>
    </row>
    <row r="70" spans="1:3" x14ac:dyDescent="0.7">
      <c r="A70">
        <v>650</v>
      </c>
      <c r="B70" s="9">
        <v>1.2743861857286198</v>
      </c>
      <c r="C70" s="9">
        <v>0.20298340194490047</v>
      </c>
    </row>
    <row r="71" spans="1:3" x14ac:dyDescent="0.7">
      <c r="A71">
        <v>660</v>
      </c>
      <c r="B71" s="9">
        <v>1.2841817655680772</v>
      </c>
      <c r="C71" s="9">
        <v>0.19953032955587041</v>
      </c>
    </row>
    <row r="72" spans="1:3" x14ac:dyDescent="0.7">
      <c r="A72">
        <v>670</v>
      </c>
      <c r="B72" s="9">
        <v>1.2939031894462385</v>
      </c>
      <c r="C72" s="9">
        <v>0.19614604103190858</v>
      </c>
    </row>
    <row r="73" spans="1:3" x14ac:dyDescent="0.7">
      <c r="A73">
        <v>680</v>
      </c>
      <c r="B73" s="9">
        <v>1.3035521164497996</v>
      </c>
      <c r="C73" s="9">
        <v>0.19282878826181782</v>
      </c>
    </row>
    <row r="74" spans="1:3" x14ac:dyDescent="0.7">
      <c r="A74">
        <v>690</v>
      </c>
      <c r="B74" s="9">
        <v>1.3131301447085721</v>
      </c>
      <c r="C74" s="9">
        <v>0.18957688382726945</v>
      </c>
    </row>
    <row r="75" spans="1:3" x14ac:dyDescent="0.7">
      <c r="A75">
        <v>700</v>
      </c>
      <c r="B75" s="9">
        <v>1.3226388144856327</v>
      </c>
      <c r="C75" s="9">
        <v>0.18638869811985412</v>
      </c>
    </row>
    <row r="76" spans="1:3" x14ac:dyDescent="0.7">
      <c r="A76">
        <v>710</v>
      </c>
      <c r="B76" s="9">
        <v>1.3320796110689346</v>
      </c>
      <c r="C76" s="9">
        <v>0.18326265663594785</v>
      </c>
    </row>
    <row r="77" spans="1:3" x14ac:dyDescent="0.7">
      <c r="A77">
        <v>720</v>
      </c>
      <c r="B77" s="9">
        <v>1.3414539674797521</v>
      </c>
      <c r="C77" s="9">
        <v>0.18019723743594773</v>
      </c>
    </row>
    <row r="78" spans="1:3" x14ac:dyDescent="0.7">
      <c r="A78">
        <v>730</v>
      </c>
      <c r="B78" s="9">
        <v>1.3507632670119409</v>
      </c>
      <c r="C78" s="9">
        <v>0.1771909687556267</v>
      </c>
    </row>
    <row r="79" spans="1:3" x14ac:dyDescent="0.7">
      <c r="A79">
        <v>740</v>
      </c>
      <c r="B79" s="9">
        <v>1.3600088456147541</v>
      </c>
      <c r="C79" s="9">
        <v>0.17424242675842977</v>
      </c>
    </row>
    <row r="80" spans="1:3" x14ac:dyDescent="0.7">
      <c r="A80">
        <v>750</v>
      </c>
      <c r="B80" s="9">
        <v>1.3691919941308379</v>
      </c>
      <c r="C80" s="9">
        <v>0.171350233418501</v>
      </c>
    </row>
    <row r="81" spans="1:3" x14ac:dyDescent="0.7">
      <c r="A81">
        <v>760</v>
      </c>
      <c r="B81" s="9">
        <v>1.3783139604000185</v>
      </c>
      <c r="C81" s="9">
        <v>0.16851305452510276</v>
      </c>
    </row>
    <row r="82" spans="1:3" x14ac:dyDescent="0.7">
      <c r="A82">
        <v>770</v>
      </c>
      <c r="B82" s="9">
        <v>1.3873759512385919</v>
      </c>
      <c r="C82" s="9">
        <v>0.16572959779987231</v>
      </c>
    </row>
    <row r="83" spans="1:3" x14ac:dyDescent="0.7">
      <c r="A83">
        <v>780</v>
      </c>
      <c r="B83" s="9">
        <v>1.3963791343029988</v>
      </c>
      <c r="C83" s="9">
        <v>0.16299861111907477</v>
      </c>
    </row>
    <row r="84" spans="1:3" x14ac:dyDescent="0.7">
      <c r="A84">
        <v>790</v>
      </c>
      <c r="B84" s="9">
        <v>1.4053246398460377</v>
      </c>
      <c r="C84" s="9">
        <v>0.1603188808336487</v>
      </c>
    </row>
    <row r="85" spans="1:3" x14ac:dyDescent="0.7">
      <c r="A85">
        <v>800</v>
      </c>
      <c r="B85" s="9">
        <v>1.4142135623730951</v>
      </c>
      <c r="C85" s="9">
        <v>0.15768923018042819</v>
      </c>
    </row>
    <row r="86" spans="1:3" x14ac:dyDescent="0.7">
      <c r="A86">
        <v>810</v>
      </c>
      <c r="B86" s="9">
        <v>1.4230469622052551</v>
      </c>
      <c r="C86" s="9">
        <v>0.15510851777845158</v>
      </c>
    </row>
    <row r="87" spans="1:3" x14ac:dyDescent="0.7">
      <c r="A87">
        <v>820</v>
      </c>
      <c r="B87" s="9">
        <v>1.4318258669556183</v>
      </c>
      <c r="C87" s="9">
        <v>0.15257563620474449</v>
      </c>
    </row>
    <row r="88" spans="1:3" x14ac:dyDescent="0.7">
      <c r="A88">
        <v>830</v>
      </c>
      <c r="B88" s="9">
        <v>1.4405512729246441</v>
      </c>
      <c r="C88" s="9">
        <v>0.15008951064440693</v>
      </c>
    </row>
    <row r="89" spans="1:3" x14ac:dyDescent="0.7">
      <c r="A89">
        <v>840</v>
      </c>
      <c r="B89" s="9">
        <v>1.4492241464198754</v>
      </c>
      <c r="C89" s="9">
        <v>0.14764909761022718</v>
      </c>
    </row>
    <row r="90" spans="1:3" x14ac:dyDescent="0.7">
      <c r="A90">
        <v>850</v>
      </c>
      <c r="B90" s="9">
        <v>1.4578454250050037</v>
      </c>
      <c r="C90" s="9">
        <v>0.14525338372740965</v>
      </c>
    </row>
    <row r="91" spans="1:3" x14ac:dyDescent="0.7">
      <c r="A91">
        <v>860</v>
      </c>
      <c r="B91" s="9">
        <v>1.4664160186828377</v>
      </c>
      <c r="C91" s="9">
        <v>0.14290138457933496</v>
      </c>
    </row>
    <row r="92" spans="1:3" x14ac:dyDescent="0.7">
      <c r="A92">
        <v>870</v>
      </c>
      <c r="B92" s="9">
        <v>1.4749368110164001</v>
      </c>
      <c r="C92" s="9">
        <v>0.14059214361057287</v>
      </c>
    </row>
    <row r="93" spans="1:3" x14ac:dyDescent="0.7">
      <c r="A93">
        <v>880</v>
      </c>
      <c r="B93" s="9">
        <v>1.48340866019207</v>
      </c>
      <c r="C93" s="9">
        <v>0.13832473108364507</v>
      </c>
    </row>
    <row r="94" spans="1:3" x14ac:dyDescent="0.7">
      <c r="A94">
        <v>890</v>
      </c>
      <c r="B94" s="9">
        <v>1.49183240002838</v>
      </c>
      <c r="C94" s="9">
        <v>0.13609824308628932</v>
      </c>
    </row>
    <row r="95" spans="1:3" x14ac:dyDescent="0.7">
      <c r="A95">
        <v>900</v>
      </c>
      <c r="B95" s="9">
        <v>1.5002088409338348</v>
      </c>
      <c r="C95" s="9">
        <v>0.13391180058620752</v>
      </c>
    </row>
    <row r="96" spans="1:3" x14ac:dyDescent="0.7">
      <c r="A96">
        <v>910</v>
      </c>
      <c r="B96" s="9">
        <v>1.5085387708168605</v>
      </c>
      <c r="C96" s="9">
        <v>0.13176454853049446</v>
      </c>
    </row>
    <row r="97" spans="1:3" x14ac:dyDescent="0.7">
      <c r="A97">
        <v>920</v>
      </c>
      <c r="B97" s="9">
        <v>1.5168229559507755</v>
      </c>
      <c r="C97" s="9">
        <v>0.12965565498714091</v>
      </c>
    </row>
    <row r="98" spans="1:3" x14ac:dyDescent="0.7">
      <c r="A98">
        <v>930</v>
      </c>
      <c r="B98" s="9">
        <v>1.5250621417964754</v>
      </c>
      <c r="C98" s="9">
        <v>0.12758431032618187</v>
      </c>
    </row>
    <row r="99" spans="1:3" x14ac:dyDescent="0.7">
      <c r="A99">
        <v>940</v>
      </c>
      <c r="B99" s="9">
        <v>1.5332570537853256</v>
      </c>
      <c r="C99" s="9">
        <v>0.12554972643823087</v>
      </c>
    </row>
    <row r="100" spans="1:3" x14ac:dyDescent="0.7">
      <c r="A100">
        <v>950</v>
      </c>
      <c r="B100" s="9">
        <v>1.541408398064595</v>
      </c>
      <c r="C100" s="9">
        <v>0.12355113598829071</v>
      </c>
    </row>
    <row r="101" spans="1:3" x14ac:dyDescent="0.7">
      <c r="A101">
        <v>960</v>
      </c>
      <c r="B101" s="9">
        <v>1.5495168622075928</v>
      </c>
      <c r="C101" s="9">
        <v>0.12158779170287336</v>
      </c>
    </row>
    <row r="102" spans="1:3" x14ac:dyDescent="0.7">
      <c r="A102">
        <v>970</v>
      </c>
      <c r="B102" s="9">
        <v>1.5575831158905351</v>
      </c>
      <c r="C102" s="9">
        <v>0.11965896568859249</v>
      </c>
    </row>
    <row r="103" spans="1:3" x14ac:dyDescent="0.7">
      <c r="A103">
        <v>980</v>
      </c>
      <c r="B103" s="9">
        <v>1.5656078115380212</v>
      </c>
      <c r="C103" s="9">
        <v>0.1177639487805112</v>
      </c>
    </row>
    <row r="104" spans="1:3" x14ac:dyDescent="0.7">
      <c r="A104">
        <v>990</v>
      </c>
      <c r="B104" s="9">
        <v>1.5735915849388864</v>
      </c>
      <c r="C104" s="9">
        <v>0.11590204991863845</v>
      </c>
    </row>
    <row r="105" spans="1:3" x14ac:dyDescent="0.7">
      <c r="A105">
        <v>1000</v>
      </c>
      <c r="B105" s="9">
        <v>1.5815350558340717</v>
      </c>
      <c r="C105" s="9">
        <v>0.11407259555107296</v>
      </c>
    </row>
    <row r="106" spans="1:3" x14ac:dyDescent="0.7">
      <c r="A106">
        <v>1010</v>
      </c>
      <c r="B106" s="9">
        <v>1.5894388284780527</v>
      </c>
      <c r="C106" s="9">
        <v>0.11227492906238463</v>
      </c>
    </row>
    <row r="107" spans="1:3" x14ac:dyDescent="0.7">
      <c r="A107">
        <v>1020</v>
      </c>
      <c r="B107" s="9">
        <v>1.5973034921752622</v>
      </c>
      <c r="C107" s="9">
        <v>0.11050841022591672</v>
      </c>
    </row>
    <row r="108" spans="1:3" x14ac:dyDescent="0.7">
      <c r="A108">
        <v>1030</v>
      </c>
      <c r="B108" s="9">
        <v>1.6051296217928608</v>
      </c>
      <c r="C108" s="9">
        <v>0.10877241467876875</v>
      </c>
    </row>
    <row r="109" spans="1:3" x14ac:dyDescent="0.7">
      <c r="A109">
        <v>1040</v>
      </c>
      <c r="B109" s="9">
        <v>1.6129177782511099</v>
      </c>
      <c r="C109" s="9">
        <v>0.10706633341830153</v>
      </c>
    </row>
    <row r="110" spans="1:3" x14ac:dyDescent="0.7">
      <c r="A110">
        <v>1050</v>
      </c>
      <c r="B110" s="9">
        <v>1.6206685089925394</v>
      </c>
      <c r="C110" s="9">
        <v>0.10538957231907113</v>
      </c>
    </row>
    <row r="111" spans="1:3" x14ac:dyDescent="0.7">
      <c r="A111">
        <v>1060</v>
      </c>
      <c r="B111" s="9">
        <v>1.628382348431014</v>
      </c>
      <c r="C111" s="9">
        <v>0.10374155166916922</v>
      </c>
    </row>
    <row r="112" spans="1:3" x14ac:dyDescent="0.7">
      <c r="A112">
        <v>1070</v>
      </c>
      <c r="B112" s="9">
        <v>1.636059818381745</v>
      </c>
      <c r="C112" s="9">
        <v>0.10212170572500365</v>
      </c>
    </row>
    <row r="113" spans="1:3" x14ac:dyDescent="0.7">
      <c r="A113">
        <v>1080</v>
      </c>
      <c r="B113" s="9">
        <v>1.6437014284732225</v>
      </c>
      <c r="C113" s="9">
        <v>0.10052948228361507</v>
      </c>
    </row>
    <row r="114" spans="1:3" x14ac:dyDescent="0.7">
      <c r="A114">
        <v>1090</v>
      </c>
      <c r="B114" s="9">
        <v>1.6513076765419934</v>
      </c>
      <c r="C114" s="9">
        <v>9.8964342271673486E-2</v>
      </c>
    </row>
    <row r="115" spans="1:3" x14ac:dyDescent="0.7">
      <c r="A115">
        <v>1100</v>
      </c>
      <c r="B115" s="9">
        <v>1.6588790490111449</v>
      </c>
      <c r="C115" s="9">
        <v>9.7425759350352484E-2</v>
      </c>
    </row>
    <row r="116" spans="1:3" x14ac:dyDescent="0.7">
      <c r="A116">
        <v>1110</v>
      </c>
      <c r="B116" s="9">
        <v>1.6664160212533137</v>
      </c>
      <c r="C116" s="9">
        <v>9.5913219535321254E-2</v>
      </c>
    </row>
    <row r="117" spans="1:3" x14ac:dyDescent="0.7">
      <c r="A117">
        <v>1120</v>
      </c>
      <c r="B117" s="9">
        <v>1.6739190579389818</v>
      </c>
      <c r="C117" s="9">
        <v>9.4426220831140939E-2</v>
      </c>
    </row>
    <row r="118" spans="1:3" x14ac:dyDescent="0.7">
      <c r="A118">
        <v>1130</v>
      </c>
      <c r="B118" s="9">
        <v>1.6813886133707854</v>
      </c>
      <c r="C118" s="9">
        <v>9.2964272879389409E-2</v>
      </c>
    </row>
    <row r="119" spans="1:3" x14ac:dyDescent="0.7">
      <c r="A119">
        <v>1140</v>
      </c>
      <c r="B119" s="9">
        <v>1.6888251318045147</v>
      </c>
      <c r="C119" s="9">
        <v>9.1526896619878659E-2</v>
      </c>
    </row>
    <row r="120" spans="1:3" x14ac:dyDescent="0.7">
      <c r="A120">
        <v>1150</v>
      </c>
      <c r="B120" s="9">
        <v>1.6962290477574486</v>
      </c>
      <c r="C120" s="9">
        <v>9.0113623964361775E-2</v>
      </c>
    </row>
    <row r="121" spans="1:3" x14ac:dyDescent="0.7">
      <c r="A121">
        <v>1160</v>
      </c>
      <c r="B121" s="9">
        <v>1.7036007863046274</v>
      </c>
      <c r="C121" s="9">
        <v>8.8723997482161046E-2</v>
      </c>
    </row>
    <row r="122" spans="1:3" x14ac:dyDescent="0.7">
      <c r="A122">
        <v>1170</v>
      </c>
      <c r="B122" s="9">
        <v>1.710940763363638</v>
      </c>
      <c r="C122" s="9">
        <v>8.7357570097180176E-2</v>
      </c>
    </row>
    <row r="123" spans="1:3" x14ac:dyDescent="0.7">
      <c r="A123">
        <v>1180</v>
      </c>
      <c r="B123" s="9">
        <v>1.7182493859684489</v>
      </c>
      <c r="C123" s="9">
        <v>8.6013904795789825E-2</v>
      </c>
    </row>
    <row r="124" spans="1:3" x14ac:dyDescent="0.7">
      <c r="A124">
        <v>1190</v>
      </c>
      <c r="B124" s="9">
        <v>1.725527052532807</v>
      </c>
      <c r="C124" s="9">
        <v>8.4692574345106034E-2</v>
      </c>
    </row>
    <row r="125" spans="1:3" x14ac:dyDescent="0.7">
      <c r="A125">
        <v>1200</v>
      </c>
      <c r="B125" s="9">
        <v>1.7327741531036758</v>
      </c>
      <c r="C125" s="9">
        <v>8.3393161021205156E-2</v>
      </c>
    </row>
    <row r="126" spans="1:3" x14ac:dyDescent="0.7">
      <c r="A126">
        <v>1210</v>
      </c>
      <c r="B126" s="9">
        <v>1.7399910696051759</v>
      </c>
      <c r="C126" s="9">
        <v>8.2115256346841359E-2</v>
      </c>
    </row>
    <row r="127" spans="1:3" x14ac:dyDescent="0.7">
      <c r="A127">
        <v>1220</v>
      </c>
      <c r="B127" s="9">
        <v>1.7471781760734562</v>
      </c>
      <c r="C127" s="9">
        <v>8.0858460838257859E-2</v>
      </c>
    </row>
    <row r="128" spans="1:3" x14ac:dyDescent="0.7">
      <c r="A128">
        <v>1230</v>
      </c>
      <c r="B128" s="9">
        <v>1.7543358388829013</v>
      </c>
      <c r="C128" s="9">
        <v>7.9622383760703894E-2</v>
      </c>
    </row>
    <row r="129" spans="1:3" x14ac:dyDescent="0.7">
      <c r="A129">
        <v>1240</v>
      </c>
      <c r="B129" s="9">
        <v>1.7614644169640716</v>
      </c>
      <c r="C129" s="9">
        <v>7.840664289228548E-2</v>
      </c>
    </row>
    <row r="130" spans="1:3" x14ac:dyDescent="0.7">
      <c r="A130">
        <v>1250</v>
      </c>
      <c r="B130" s="9">
        <v>1.7685642620137334</v>
      </c>
      <c r="C130" s="9">
        <v>7.7210864295802636E-2</v>
      </c>
    </row>
    <row r="131" spans="1:3" x14ac:dyDescent="0.7">
      <c r="A131">
        <v>1260</v>
      </c>
      <c r="B131" s="9">
        <v>1.7756357186973304</v>
      </c>
      <c r="C131" s="9">
        <v>7.6034682098238673E-2</v>
      </c>
    </row>
    <row r="132" spans="1:3" x14ac:dyDescent="0.7">
      <c r="A132">
        <v>1270</v>
      </c>
      <c r="B132" s="9">
        <v>1.78267912484423</v>
      </c>
      <c r="C132" s="9">
        <v>7.4877738277585065E-2</v>
      </c>
    </row>
    <row r="133" spans="1:3" x14ac:dyDescent="0.7">
      <c r="A133">
        <v>1280</v>
      </c>
      <c r="B133" s="9">
        <v>1.7896948116360489</v>
      </c>
      <c r="C133" s="9">
        <v>7.3739682456703079E-2</v>
      </c>
    </row>
    <row r="134" spans="1:3" x14ac:dyDescent="0.7">
      <c r="A134">
        <v>1290</v>
      </c>
      <c r="B134" s="9">
        <v>1.7966831037883662</v>
      </c>
      <c r="C134" s="9">
        <v>7.2620171703933173E-2</v>
      </c>
    </row>
    <row r="135" spans="1:3" x14ac:dyDescent="0.7">
      <c r="A135">
        <v>1300</v>
      </c>
      <c r="B135" s="9">
        <v>1.803644319726093</v>
      </c>
      <c r="C135" s="9">
        <v>7.1518870340184171E-2</v>
      </c>
    </row>
    <row r="136" spans="1:3" x14ac:dyDescent="0.7">
      <c r="A136">
        <v>1310</v>
      </c>
      <c r="B136" s="9">
        <v>1.8105787717527797</v>
      </c>
      <c r="C136" s="9">
        <v>7.0435449752239143E-2</v>
      </c>
    </row>
    <row r="137" spans="1:3" x14ac:dyDescent="0.7">
      <c r="A137">
        <v>1320</v>
      </c>
      <c r="B137" s="9">
        <v>1.8174867662141061</v>
      </c>
      <c r="C137" s="9">
        <v>6.936958821203458E-2</v>
      </c>
    </row>
    <row r="138" spans="1:3" x14ac:dyDescent="0.7">
      <c r="A138">
        <v>1330</v>
      </c>
      <c r="B138" s="9">
        <v>1.8243686036557998</v>
      </c>
      <c r="C138" s="9">
        <v>6.8320970701676281E-2</v>
      </c>
    </row>
    <row r="139" spans="1:3" x14ac:dyDescent="0.7">
      <c r="A139">
        <v>1340</v>
      </c>
      <c r="B139" s="9">
        <v>1.8312245789762154</v>
      </c>
      <c r="C139" s="9">
        <v>6.7289288743968556E-2</v>
      </c>
    </row>
    <row r="140" spans="1:3" x14ac:dyDescent="0.7">
      <c r="A140">
        <v>1350</v>
      </c>
      <c r="B140" s="9">
        <v>1.8380549815737888</v>
      </c>
      <c r="C140" s="9">
        <v>6.6274240238243756E-2</v>
      </c>
    </row>
    <row r="141" spans="1:3" x14ac:dyDescent="0.7">
      <c r="A141">
        <v>1360</v>
      </c>
      <c r="B141" s="9">
        <v>1.8448600954895806</v>
      </c>
      <c r="C141" s="9">
        <v>6.5275529301287605E-2</v>
      </c>
    </row>
    <row r="142" spans="1:3" x14ac:dyDescent="0.7">
      <c r="A142">
        <v>1370</v>
      </c>
      <c r="B142" s="9">
        <v>1.8516401995451028</v>
      </c>
      <c r="C142" s="9">
        <v>6.4292866113167327E-2</v>
      </c>
    </row>
    <row r="143" spans="1:3" x14ac:dyDescent="0.7">
      <c r="A143">
        <v>1380</v>
      </c>
      <c r="B143" s="9">
        <v>1.8583955674756201</v>
      </c>
      <c r="C143" s="9">
        <v>6.3325966767776354E-2</v>
      </c>
    </row>
    <row r="144" spans="1:3" x14ac:dyDescent="0.7">
      <c r="A144">
        <v>1390</v>
      </c>
      <c r="B144" s="9">
        <v>1.8651264680591062</v>
      </c>
      <c r="C144" s="9">
        <v>6.2374553127918765E-2</v>
      </c>
    </row>
    <row r="145" spans="1:3" x14ac:dyDescent="0.7">
      <c r="A145">
        <v>1400</v>
      </c>
      <c r="B145" s="9">
        <v>1.8718331652410267</v>
      </c>
      <c r="C145" s="9">
        <v>6.1438352684764913E-2</v>
      </c>
    </row>
    <row r="146" spans="1:3" x14ac:dyDescent="0.7">
      <c r="A146">
        <v>1410</v>
      </c>
      <c r="B146" s="9">
        <v>1.8785159182551114</v>
      </c>
      <c r="C146" s="9">
        <v>6.0517098421516403E-2</v>
      </c>
    </row>
    <row r="147" spans="1:3" x14ac:dyDescent="0.7">
      <c r="A147">
        <v>1420</v>
      </c>
      <c r="B147" s="9">
        <v>1.8851749817402759</v>
      </c>
      <c r="C147" s="9">
        <v>5.9610528681125236E-2</v>
      </c>
    </row>
    <row r="148" spans="1:3" x14ac:dyDescent="0.7">
      <c r="A148">
        <v>1430</v>
      </c>
      <c r="B148" s="9">
        <v>1.8918106058538349</v>
      </c>
      <c r="C148" s="9">
        <v>5.8718387037921836E-2</v>
      </c>
    </row>
    <row r="149" spans="1:3" x14ac:dyDescent="0.7">
      <c r="A149">
        <v>1440</v>
      </c>
      <c r="B149" s="9">
        <v>1.8984230363811583</v>
      </c>
      <c r="C149" s="9">
        <v>5.7840422173007437E-2</v>
      </c>
    </row>
    <row r="150" spans="1:3" x14ac:dyDescent="0.7">
      <c r="A150">
        <v>1450</v>
      </c>
      <c r="B150" s="9">
        <v>1.9050125148418999</v>
      </c>
      <c r="C150" s="9">
        <v>5.6976387753278838E-2</v>
      </c>
    </row>
    <row r="151" spans="1:3" x14ac:dyDescent="0.7">
      <c r="A151">
        <v>1460</v>
      </c>
      <c r="B151" s="9">
        <v>1.9115792785929298</v>
      </c>
      <c r="C151" s="9">
        <v>5.6126042313954592E-2</v>
      </c>
    </row>
    <row r="152" spans="1:3" x14ac:dyDescent="0.7">
      <c r="A152">
        <v>1470</v>
      </c>
      <c r="B152" s="9">
        <v>1.9181235609280933</v>
      </c>
      <c r="C152" s="9">
        <v>5.5289149144478911E-2</v>
      </c>
    </row>
    <row r="153" spans="1:3" x14ac:dyDescent="0.7">
      <c r="A153">
        <v>1480</v>
      </c>
      <c r="B153" s="9">
        <v>1.9246455911749243</v>
      </c>
      <c r="C153" s="9">
        <v>5.4465476177685129E-2</v>
      </c>
    </row>
    <row r="154" spans="1:3" x14ac:dyDescent="0.7">
      <c r="A154">
        <v>1490</v>
      </c>
      <c r="B154" s="9">
        <v>1.9311455947884089</v>
      </c>
      <c r="C154" s="9">
        <v>5.36547958821052E-2</v>
      </c>
    </row>
    <row r="155" spans="1:3" x14ac:dyDescent="0.7">
      <c r="A155">
        <v>1500</v>
      </c>
      <c r="B155" s="9">
        <v>1.9376237934419263</v>
      </c>
      <c r="C155" s="9">
        <v>5.2856885157315743E-2</v>
      </c>
    </row>
    <row r="156" spans="1:3" x14ac:dyDescent="0.7">
      <c r="A156">
        <v>1510</v>
      </c>
      <c r="B156" s="9">
        <v>1.9440804051154585</v>
      </c>
      <c r="C156" s="9">
        <v>5.2071525232217183E-2</v>
      </c>
    </row>
    <row r="157" spans="1:3" x14ac:dyDescent="0.7">
      <c r="A157">
        <v>1520</v>
      </c>
      <c r="B157" s="9">
        <v>1.9505156441811713</v>
      </c>
      <c r="C157" s="9">
        <v>5.1298501566144981E-2</v>
      </c>
    </row>
    <row r="158" spans="1:3" x14ac:dyDescent="0.7">
      <c r="A158">
        <v>1530</v>
      </c>
      <c r="B158" s="9">
        <v>1.9569297214864652</v>
      </c>
      <c r="C158" s="9">
        <v>5.0537603752717708E-2</v>
      </c>
    </row>
    <row r="159" spans="1:3" x14ac:dyDescent="0.7">
      <c r="A159">
        <v>1540</v>
      </c>
      <c r="B159" s="9">
        <v>1.9633228444345818</v>
      </c>
      <c r="C159" s="9">
        <v>4.9788625426329489E-2</v>
      </c>
    </row>
    <row r="160" spans="1:3" x14ac:dyDescent="0.7">
      <c r="A160">
        <v>1550</v>
      </c>
      <c r="B160" s="9">
        <v>1.9696952170628585</v>
      </c>
      <c r="C160" s="9">
        <v>4.9051364171198146E-2</v>
      </c>
    </row>
    <row r="161" spans="1:3" x14ac:dyDescent="0.7">
      <c r="A161">
        <v>1560</v>
      </c>
      <c r="B161" s="9">
        <v>1.9760470401187076</v>
      </c>
      <c r="C161" s="9">
        <v>4.8325621432885338E-2</v>
      </c>
    </row>
    <row r="162" spans="1:3" x14ac:dyDescent="0.7">
      <c r="A162">
        <v>1570</v>
      </c>
      <c r="B162" s="9">
        <v>1.9823785111334085</v>
      </c>
      <c r="C162" s="9">
        <v>4.7611202432205298E-2</v>
      </c>
    </row>
    <row r="163" spans="1:3" x14ac:dyDescent="0.7">
      <c r="A163">
        <v>1580</v>
      </c>
      <c r="B163" s="9">
        <v>1.988689824493783</v>
      </c>
      <c r="C163" s="9">
        <v>4.6907916081445698E-2</v>
      </c>
    </row>
    <row r="164" spans="1:3" x14ac:dyDescent="0.7">
      <c r="A164">
        <v>1590</v>
      </c>
      <c r="B164" s="9">
        <v>1.9949811715118309</v>
      </c>
      <c r="C164" s="9">
        <v>4.6215574902824678E-2</v>
      </c>
    </row>
    <row r="165" spans="1:3" x14ac:dyDescent="0.7">
      <c r="A165">
        <v>1600</v>
      </c>
      <c r="B165" s="9">
        <v>2.001252740492395</v>
      </c>
      <c r="C165" s="9">
        <v>4.5533994949110812E-2</v>
      </c>
    </row>
    <row r="166" spans="1:3" x14ac:dyDescent="0.7">
      <c r="A166">
        <v>1610</v>
      </c>
      <c r="B166" s="9">
        <v>2.0075047167989233</v>
      </c>
      <c r="C166" s="9">
        <v>4.4862995726338645E-2</v>
      </c>
    </row>
    <row r="167" spans="1:3" x14ac:dyDescent="0.7">
      <c r="A167">
        <v>1620</v>
      </c>
      <c r="B167" s="9">
        <v>2.0137372829173938</v>
      </c>
      <c r="C167" s="9">
        <v>4.420240011855054E-2</v>
      </c>
    </row>
    <row r="168" spans="1:3" x14ac:dyDescent="0.7">
      <c r="A168">
        <v>1630</v>
      </c>
      <c r="B168" s="9">
        <v>2.0199506185184664</v>
      </c>
      <c r="C168" s="9">
        <v>4.3552034314502372E-2</v>
      </c>
    </row>
    <row r="169" spans="1:3" x14ac:dyDescent="0.7">
      <c r="A169">
        <v>1640</v>
      </c>
      <c r="B169" s="9">
        <v>2.0261449005179113</v>
      </c>
      <c r="C169" s="9">
        <v>4.2911727736270618E-2</v>
      </c>
    </row>
    <row r="170" spans="1:3" x14ac:dyDescent="0.7">
      <c r="A170">
        <v>1650</v>
      </c>
      <c r="B170" s="9">
        <v>2.0323203031353945</v>
      </c>
      <c r="C170" s="9">
        <v>4.2281312969700099E-2</v>
      </c>
    </row>
    <row r="171" spans="1:3" x14ac:dyDescent="0.7">
      <c r="A171">
        <v>1660</v>
      </c>
      <c r="B171" s="9">
        <v>2.0384769979516437</v>
      </c>
      <c r="C171" s="9">
        <v>4.1660625696637699E-2</v>
      </c>
    </row>
    <row r="172" spans="1:3" x14ac:dyDescent="0.7">
      <c r="A172">
        <v>1670</v>
      </c>
      <c r="B172" s="9">
        <v>2.0446151539640782</v>
      </c>
      <c r="C172" s="9">
        <v>4.1049504628893917E-2</v>
      </c>
    </row>
    <row r="173" spans="1:3" x14ac:dyDescent="0.7">
      <c r="A173">
        <v>1680</v>
      </c>
      <c r="B173" s="9">
        <v>2.050734937640931</v>
      </c>
      <c r="C173" s="9">
        <v>4.0447791443881463E-2</v>
      </c>
    </row>
    <row r="174" spans="1:3" x14ac:dyDescent="0.7">
      <c r="A174">
        <v>1690</v>
      </c>
      <c r="B174" s="9">
        <v>2.0568365129739301</v>
      </c>
      <c r="C174" s="9">
        <v>3.9855330721877864E-2</v>
      </c>
    </row>
    <row r="175" spans="1:3" x14ac:dyDescent="0.7">
      <c r="A175">
        <v>1700</v>
      </c>
      <c r="B175" s="9">
        <v>2.0629200415295696</v>
      </c>
      <c r="C175" s="9">
        <v>3.9271969884864352E-2</v>
      </c>
    </row>
    <row r="176" spans="1:3" x14ac:dyDescent="0.7">
      <c r="A176">
        <v>1710</v>
      </c>
      <c r="B176" s="9">
        <v>2.0689856824990271</v>
      </c>
      <c r="C176" s="9">
        <v>3.8697559136892316E-2</v>
      </c>
    </row>
    <row r="177" spans="1:3" x14ac:dyDescent="0.7">
      <c r="A177">
        <v>1720</v>
      </c>
      <c r="B177" s="9">
        <v>2.0750335927467702</v>
      </c>
      <c r="C177" s="9">
        <v>3.813195140593155E-2</v>
      </c>
    </row>
    <row r="178" spans="1:3" x14ac:dyDescent="0.7">
      <c r="A178">
        <v>1730</v>
      </c>
      <c r="B178" s="9">
        <v>2.0810639268578881</v>
      </c>
      <c r="C178" s="9">
        <v>3.7575002287156989E-2</v>
      </c>
    </row>
    <row r="179" spans="1:3" x14ac:dyDescent="0.7">
      <c r="A179">
        <v>1740</v>
      </c>
      <c r="B179" s="9">
        <v>2.0870768371841937</v>
      </c>
      <c r="C179" s="9">
        <v>3.7026569987630369E-2</v>
      </c>
    </row>
    <row r="180" spans="1:3" x14ac:dyDescent="0.7">
      <c r="A180">
        <v>1750</v>
      </c>
      <c r="B180" s="9">
        <v>2.0930724738891344</v>
      </c>
      <c r="C180" s="9">
        <v>3.6486515272335721E-2</v>
      </c>
    </row>
    <row r="181" spans="1:3" x14ac:dyDescent="0.7">
      <c r="A181">
        <v>1760</v>
      </c>
      <c r="B181" s="9">
        <v>2.0990509849915475</v>
      </c>
      <c r="C181" s="9">
        <v>3.5954701411529892E-2</v>
      </c>
    </row>
    <row r="182" spans="1:3" x14ac:dyDescent="0.7">
      <c r="A182">
        <v>1770</v>
      </c>
      <c r="B182" s="9">
        <v>2.1050125164082969</v>
      </c>
      <c r="C182" s="9">
        <v>3.5430994129368676E-2</v>
      </c>
    </row>
    <row r="183" spans="1:3" x14ac:dyDescent="0.7">
      <c r="A183">
        <v>1780</v>
      </c>
      <c r="B183" s="9">
        <v>2.1109572119958266</v>
      </c>
      <c r="C183" s="9">
        <v>3.4915261553772045E-2</v>
      </c>
    </row>
    <row r="184" spans="1:3" x14ac:dyDescent="0.7">
      <c r="A184">
        <v>1790</v>
      </c>
      <c r="B184" s="9">
        <v>2.1168852135906655</v>
      </c>
      <c r="C184" s="9">
        <v>3.440737416749319E-2</v>
      </c>
    </row>
    <row r="185" spans="1:3" x14ac:dyDescent="0.7">
      <c r="A185">
        <v>1800</v>
      </c>
      <c r="B185" s="9">
        <v>2.12279666104891</v>
      </c>
      <c r="C185" s="9">
        <v>3.3907204760356115E-2</v>
      </c>
    </row>
    <row r="186" spans="1:3" x14ac:dyDescent="0.7">
      <c r="A186">
        <v>1810</v>
      </c>
      <c r="B186" s="9">
        <v>2.128691692284725</v>
      </c>
      <c r="C186" s="9">
        <v>3.3414628382628792E-2</v>
      </c>
    </row>
    <row r="187" spans="1:3" x14ac:dyDescent="0.7">
      <c r="A187">
        <v>1820</v>
      </c>
      <c r="B187" s="9">
        <v>2.134570443307882</v>
      </c>
      <c r="C187" s="9">
        <v>3.2929522299500434E-2</v>
      </c>
    </row>
    <row r="188" spans="1:3" x14ac:dyDescent="0.7">
      <c r="A188">
        <v>1830</v>
      </c>
      <c r="B188" s="9">
        <v>2.1404330482603782</v>
      </c>
      <c r="C188" s="9">
        <v>3.2451765946629733E-2</v>
      </c>
    </row>
    <row r="189" spans="1:3" x14ac:dyDescent="0.7">
      <c r="A189">
        <v>1840</v>
      </c>
      <c r="B189" s="9">
        <v>2.1462796394521422</v>
      </c>
      <c r="C189" s="9">
        <v>3.1981240886737185E-2</v>
      </c>
    </row>
    <row r="190" spans="1:3" x14ac:dyDescent="0.7">
      <c r="A190">
        <v>1850</v>
      </c>
      <c r="B190" s="9">
        <v>2.1521103473958814</v>
      </c>
      <c r="C190" s="9">
        <v>3.1517830767208765E-2</v>
      </c>
    </row>
    <row r="191" spans="1:3" x14ac:dyDescent="0.7">
      <c r="A191">
        <v>1860</v>
      </c>
      <c r="B191" s="9">
        <v>2.1579253008410708</v>
      </c>
      <c r="C191" s="9">
        <v>3.106142127868617E-2</v>
      </c>
    </row>
    <row r="192" spans="1:3" x14ac:dyDescent="0.7">
      <c r="A192">
        <v>1870</v>
      </c>
      <c r="B192" s="9">
        <v>2.1637246268071246</v>
      </c>
      <c r="C192" s="9">
        <v>3.0611900114614152E-2</v>
      </c>
    </row>
    <row r="193" spans="1:3" x14ac:dyDescent="0.7">
      <c r="A193">
        <v>1880</v>
      </c>
      <c r="B193" s="9">
        <v>2.1695084506157687</v>
      </c>
      <c r="C193" s="9">
        <v>3.0169156931719898E-2</v>
      </c>
    </row>
    <row r="194" spans="1:3" x14ac:dyDescent="0.7">
      <c r="A194">
        <v>1890</v>
      </c>
      <c r="B194" s="9">
        <v>2.1752768959226403</v>
      </c>
      <c r="C194" s="9">
        <v>2.9733083311398376E-2</v>
      </c>
    </row>
    <row r="195" spans="1:3" x14ac:dyDescent="0.7">
      <c r="A195">
        <v>1900</v>
      </c>
      <c r="B195" s="9">
        <v>2.1810300847481314</v>
      </c>
      <c r="C195" s="9">
        <v>2.9303572721979417E-2</v>
      </c>
    </row>
    <row r="196" spans="1:3" x14ac:dyDescent="0.7">
      <c r="A196">
        <v>1910</v>
      </c>
      <c r="B196" s="9">
        <v>2.1867681375075056</v>
      </c>
      <c r="C196" s="9">
        <v>2.8880520481852748E-2</v>
      </c>
    </row>
    <row r="197" spans="1:3" x14ac:dyDescent="0.7">
      <c r="A197">
        <v>1920</v>
      </c>
      <c r="B197" s="9">
        <v>2.1924911730403047</v>
      </c>
      <c r="C197" s="9">
        <v>2.8463823723427317E-2</v>
      </c>
    </row>
    <row r="198" spans="1:3" x14ac:dyDescent="0.7">
      <c r="A198">
        <v>1930</v>
      </c>
      <c r="B198" s="9">
        <v>2.1981993086390625</v>
      </c>
      <c r="C198" s="9">
        <v>2.8053381357903737E-2</v>
      </c>
    </row>
    <row r="199" spans="1:3" x14ac:dyDescent="0.7">
      <c r="A199">
        <v>1940</v>
      </c>
      <c r="B199" s="9">
        <v>2.2038926600773587</v>
      </c>
      <c r="C199" s="9">
        <v>2.7649094040836451E-2</v>
      </c>
    </row>
    <row r="200" spans="1:3" x14ac:dyDescent="0.7">
      <c r="A200">
        <v>1950</v>
      </c>
      <c r="B200" s="9">
        <v>2.2095713416372105</v>
      </c>
      <c r="C200" s="9">
        <v>2.7250864138466845E-2</v>
      </c>
    </row>
    <row r="201" spans="1:3" x14ac:dyDescent="0.7">
      <c r="A201">
        <v>1960</v>
      </c>
      <c r="B201" s="9">
        <v>2.2152354661358382</v>
      </c>
      <c r="C201" s="9">
        <v>2.6858595694805604E-2</v>
      </c>
    </row>
    <row r="202" spans="1:3" x14ac:dyDescent="0.7">
      <c r="A202">
        <v>1970</v>
      </c>
      <c r="B202" s="9">
        <v>2.2208851449518208</v>
      </c>
      <c r="C202" s="9">
        <v>2.6472194399444347E-2</v>
      </c>
    </row>
    <row r="203" spans="1:3" x14ac:dyDescent="0.7">
      <c r="A203">
        <v>1980</v>
      </c>
      <c r="B203" s="9">
        <v>2.2265204880506428</v>
      </c>
      <c r="C203" s="9">
        <v>2.6091567556079127E-2</v>
      </c>
    </row>
    <row r="204" spans="1:3" x14ac:dyDescent="0.7">
      <c r="A204">
        <v>1990</v>
      </c>
      <c r="B204" s="9">
        <v>2.2321416040096738</v>
      </c>
      <c r="C204" s="9">
        <v>2.5716624051725617E-2</v>
      </c>
    </row>
    <row r="205" spans="1:3" x14ac:dyDescent="0.7">
      <c r="A205" s="1">
        <v>2000</v>
      </c>
      <c r="B205" s="14">
        <v>2.2377486000425701</v>
      </c>
      <c r="C205" s="14">
        <v>2.5347274326609295E-2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E021-DE54-47BA-A525-FAAA110D73EE}">
  <dimension ref="A1:B10"/>
  <sheetViews>
    <sheetView workbookViewId="0">
      <selection activeCell="B7" sqref="B7"/>
    </sheetView>
  </sheetViews>
  <sheetFormatPr defaultRowHeight="17.649999999999999" x14ac:dyDescent="0.7"/>
  <cols>
    <col min="1" max="1" width="15.75" customWidth="1"/>
  </cols>
  <sheetData>
    <row r="1" spans="1:2" x14ac:dyDescent="0.7">
      <c r="A1" s="23" t="s">
        <v>107</v>
      </c>
      <c r="B1" s="23"/>
    </row>
    <row r="3" spans="1:2" x14ac:dyDescent="0.7">
      <c r="A3" s="24" t="s">
        <v>108</v>
      </c>
      <c r="B3" s="25">
        <v>0.5</v>
      </c>
    </row>
    <row r="4" spans="1:2" x14ac:dyDescent="0.7">
      <c r="A4" s="21" t="s">
        <v>109</v>
      </c>
      <c r="B4">
        <v>0.01</v>
      </c>
    </row>
    <row r="5" spans="1:2" x14ac:dyDescent="0.7">
      <c r="A5" s="26" t="s">
        <v>110</v>
      </c>
      <c r="B5" s="1">
        <v>0.95</v>
      </c>
    </row>
    <row r="6" spans="1:2" x14ac:dyDescent="0.7">
      <c r="A6" s="20"/>
    </row>
    <row r="7" spans="1:2" ht="19.149999999999999" x14ac:dyDescent="0.7">
      <c r="A7" s="27" t="s">
        <v>113</v>
      </c>
      <c r="B7" s="29"/>
    </row>
    <row r="8" spans="1:2" ht="19.149999999999999" x14ac:dyDescent="0.7">
      <c r="A8" s="22" t="s">
        <v>112</v>
      </c>
      <c r="B8" s="10"/>
    </row>
    <row r="9" spans="1:2" x14ac:dyDescent="0.7">
      <c r="A9" s="28" t="s">
        <v>111</v>
      </c>
      <c r="B9" s="30"/>
    </row>
    <row r="10" spans="1:2" x14ac:dyDescent="0.7">
      <c r="A10" s="18" t="s">
        <v>100</v>
      </c>
      <c r="B10" s="6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0448-CDFB-4B5C-BD47-93739559B9C1}">
  <dimension ref="A1:B10"/>
  <sheetViews>
    <sheetView workbookViewId="0">
      <selection activeCell="B7" sqref="B7"/>
    </sheetView>
  </sheetViews>
  <sheetFormatPr defaultRowHeight="17.649999999999999" x14ac:dyDescent="0.7"/>
  <cols>
    <col min="1" max="1" width="15.75" customWidth="1"/>
  </cols>
  <sheetData>
    <row r="1" spans="1:2" x14ac:dyDescent="0.7">
      <c r="A1" s="23" t="s">
        <v>107</v>
      </c>
      <c r="B1" s="23"/>
    </row>
    <row r="3" spans="1:2" x14ac:dyDescent="0.7">
      <c r="A3" s="24" t="s">
        <v>108</v>
      </c>
      <c r="B3" s="25">
        <v>0.5</v>
      </c>
    </row>
    <row r="4" spans="1:2" x14ac:dyDescent="0.7">
      <c r="A4" s="21" t="s">
        <v>109</v>
      </c>
      <c r="B4">
        <v>0.01</v>
      </c>
    </row>
    <row r="5" spans="1:2" x14ac:dyDescent="0.7">
      <c r="A5" s="26" t="s">
        <v>110</v>
      </c>
      <c r="B5" s="1">
        <v>0.95</v>
      </c>
    </row>
    <row r="6" spans="1:2" x14ac:dyDescent="0.7">
      <c r="A6" s="20"/>
    </row>
    <row r="7" spans="1:2" ht="19.149999999999999" x14ac:dyDescent="0.7">
      <c r="A7" s="27" t="s">
        <v>113</v>
      </c>
      <c r="B7" s="29">
        <f>_xlfn.NORM.S.INV(1-B4/2)</f>
        <v>2.5758293035488999</v>
      </c>
    </row>
    <row r="8" spans="1:2" ht="19.149999999999999" x14ac:dyDescent="0.7">
      <c r="A8" s="22" t="s">
        <v>112</v>
      </c>
      <c r="B8" s="10">
        <f>_xlfn.NORM.S.INV(B5)</f>
        <v>1.6448536269514715</v>
      </c>
    </row>
    <row r="9" spans="1:2" x14ac:dyDescent="0.7">
      <c r="A9" s="28" t="s">
        <v>111</v>
      </c>
      <c r="B9" s="30">
        <f>FISHER(B3)</f>
        <v>0.54930614433405489</v>
      </c>
    </row>
    <row r="10" spans="1:2" x14ac:dyDescent="0.7">
      <c r="A10" s="18" t="s">
        <v>100</v>
      </c>
      <c r="B10" s="6">
        <f>ROUNDUP(((B7+B8)/B9)^2+3,0)</f>
        <v>63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無相関の検定</vt:lpstr>
      <vt:lpstr>無相関の検定 (作成例)</vt:lpstr>
      <vt:lpstr>サンプルサイズとP値</vt:lpstr>
      <vt:lpstr>サンプルサイズとP値 (作成例)</vt:lpstr>
      <vt:lpstr>サンプルサイズの見積もり</vt:lpstr>
      <vt:lpstr>サンプルサイズの見積もり (作成例)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2024-01-14T22:34:46Z</dcterms:created>
  <dcterms:modified xsi:type="dcterms:W3CDTF">2025-11-27T04:57:05Z</dcterms:modified>
</cp:coreProperties>
</file>