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3F0428B4-72BB-49A1-BAAC-1EDBFC5A2073}" xr6:coauthVersionLast="47" xr6:coauthVersionMax="47" xr10:uidLastSave="{00000000-0000-0000-0000-000000000000}"/>
  <bookViews>
    <workbookView xWindow="7793" yWindow="1882" windowWidth="28170" windowHeight="15045" xr2:uid="{F57CBF7E-E72F-43B5-A695-BBC8B02B60D4}"/>
  </bookViews>
  <sheets>
    <sheet name="1要因分散分析" sheetId="6" r:id="rId1"/>
    <sheet name="1要因分散分析 (作成例)" sheetId="8" r:id="rId2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C26" i="8"/>
  <c r="B26" i="8"/>
  <c r="D25" i="8"/>
  <c r="C25" i="8"/>
  <c r="B25" i="8"/>
  <c r="D24" i="8"/>
  <c r="C24" i="8"/>
  <c r="B24" i="8"/>
  <c r="G10" i="8" a="1"/>
  <c r="G10" i="8" s="1"/>
  <c r="G4" i="8"/>
  <c r="G11" i="8" s="1" a="1"/>
  <c r="G11" i="8" s="1"/>
  <c r="G9" i="8" s="1"/>
  <c r="F4" i="8"/>
  <c r="H9" i="8" s="1"/>
  <c r="F4" i="6"/>
  <c r="D24" i="6"/>
  <c r="C24" i="6"/>
  <c r="B24" i="6"/>
  <c r="D26" i="6"/>
  <c r="C26" i="6"/>
  <c r="B26" i="6"/>
  <c r="D25" i="6"/>
  <c r="C25" i="6"/>
  <c r="B25" i="6"/>
  <c r="H10" i="8" l="1"/>
  <c r="I9" i="8" s="1" a="1"/>
  <c r="I9" i="8" s="1"/>
  <c r="J9" i="8" s="1"/>
  <c r="K9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<sst xmlns="http://schemas.openxmlformats.org/spreadsheetml/2006/main" count="42" uniqueCount="23">
  <si>
    <t>n</t>
    <phoneticPr fontId="1"/>
  </si>
  <si>
    <t>質問</t>
    <rPh sb="0" eb="2">
      <t>シツモン</t>
    </rPh>
    <phoneticPr fontId="1"/>
  </si>
  <si>
    <t>軽量モデル</t>
    <rPh sb="0" eb="2">
      <t>ケイリョウ</t>
    </rPh>
    <phoneticPr fontId="1"/>
  </si>
  <si>
    <t>標準モデル</t>
    <rPh sb="0" eb="2">
      <t>ヒョウジュン</t>
    </rPh>
    <phoneticPr fontId="1"/>
  </si>
  <si>
    <t>重量モデル</t>
    <rPh sb="0" eb="2">
      <t>ジュウリョウ</t>
    </rPh>
    <phoneticPr fontId="1"/>
  </si>
  <si>
    <t>生成AIのモデル別反応時間（架空の事例）</t>
    <rPh sb="0" eb="2">
      <t>セイセイ</t>
    </rPh>
    <rPh sb="8" eb="9">
      <t>ベツ</t>
    </rPh>
    <rPh sb="9" eb="11">
      <t>ハンノウ</t>
    </rPh>
    <rPh sb="11" eb="13">
      <t>ジカン</t>
    </rPh>
    <rPh sb="14" eb="16">
      <t>カクウ</t>
    </rPh>
    <rPh sb="17" eb="19">
      <t>ジレイ</t>
    </rPh>
    <phoneticPr fontId="1"/>
  </si>
  <si>
    <t>分散分析表</t>
    <rPh sb="0" eb="2">
      <t>ブンサン</t>
    </rPh>
    <rPh sb="2" eb="5">
      <t>ブンセキヒョウ</t>
    </rPh>
    <phoneticPr fontId="1"/>
  </si>
  <si>
    <t>平均</t>
    <rPh sb="0" eb="2">
      <t>ヘイキン</t>
    </rPh>
    <phoneticPr fontId="1"/>
  </si>
  <si>
    <t>平方和</t>
    <rPh sb="0" eb="2">
      <t>ヘイホウ</t>
    </rPh>
    <rPh sb="2" eb="3">
      <t>ワ</t>
    </rPh>
    <phoneticPr fontId="1"/>
  </si>
  <si>
    <t>自由度</t>
    <rPh sb="0" eb="3">
      <t>ジユウド</t>
    </rPh>
    <phoneticPr fontId="1"/>
  </si>
  <si>
    <t>平均平方</t>
    <rPh sb="0" eb="2">
      <t>ヘイキン</t>
    </rPh>
    <rPh sb="2" eb="4">
      <t>ヘイホウ</t>
    </rPh>
    <phoneticPr fontId="1"/>
  </si>
  <si>
    <t>F</t>
    <phoneticPr fontId="1"/>
  </si>
  <si>
    <t>P</t>
    <phoneticPr fontId="1"/>
  </si>
  <si>
    <t>全体</t>
    <rPh sb="0" eb="2">
      <t>ゼンタイ</t>
    </rPh>
    <phoneticPr fontId="1"/>
  </si>
  <si>
    <t>合計</t>
    <rPh sb="0" eb="2">
      <t>ゴウケイ</t>
    </rPh>
    <phoneticPr fontId="1"/>
  </si>
  <si>
    <t>作業用データ</t>
    <rPh sb="0" eb="3">
      <t>サギョウヨウ</t>
    </rPh>
    <phoneticPr fontId="1"/>
  </si>
  <si>
    <t>総平均</t>
    <rPh sb="0" eb="3">
      <t>ソウヘイキン</t>
    </rPh>
    <phoneticPr fontId="1"/>
  </si>
  <si>
    <t>n</t>
    <phoneticPr fontId="1"/>
  </si>
  <si>
    <t>水準数r</t>
    <rPh sb="0" eb="2">
      <t>スイジュン</t>
    </rPh>
    <rPh sb="2" eb="3">
      <t>スウ</t>
    </rPh>
    <phoneticPr fontId="1"/>
  </si>
  <si>
    <t>総平均</t>
    <rPh sb="0" eb="3">
      <t>ソウヘイキン</t>
    </rPh>
    <phoneticPr fontId="1"/>
  </si>
  <si>
    <t>変動因</t>
    <rPh sb="0" eb="2">
      <t>ヘンドウ</t>
    </rPh>
    <rPh sb="2" eb="3">
      <t>イン</t>
    </rPh>
    <phoneticPr fontId="1"/>
  </si>
  <si>
    <t>水準間</t>
    <rPh sb="0" eb="2">
      <t>スイジュン</t>
    </rPh>
    <rPh sb="2" eb="3">
      <t>カン</t>
    </rPh>
    <phoneticPr fontId="1"/>
  </si>
  <si>
    <t>水準内</t>
    <rPh sb="0" eb="2">
      <t>スイジュン</t>
    </rPh>
    <rPh sb="2" eb="3">
      <t>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</si>
</sst>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9" formatCode="0.00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Continuous" vertical="center"/>
    </xf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2" fontId="0" fillId="0" borderId="0" xfId="0" applyNumberFormat="1" applyBorder="1" applyAlignment="1">
      <alignment vertical="center" wrapText="1"/>
    </xf>
    <xf numFmtId="2" fontId="0" fillId="0" borderId="0" xfId="0" applyNumberFormat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Border="1" applyAlignment="1">
      <alignment vertical="center" wrapText="1"/>
    </xf>
    <xf numFmtId="0" fontId="2" fillId="4" borderId="0" xfId="0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Continuous" vertical="center"/>
    </xf>
    <xf numFmtId="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4BD4-E90B-429B-9F5C-EA141E3BF370}">
  <dimension ref="A1:K29"/>
  <sheetViews>
    <sheetView tabSelected="1" workbookViewId="0">
      <selection activeCell="G4" sqref="G4"/>
    </sheetView>
  </sheetViews>
  <sheetFormatPr defaultRowHeight="17.649999999999999" x14ac:dyDescent="0.7"/>
  <cols>
    <col min="1" max="1" width="6.375" customWidth="1"/>
    <col min="2" max="4" width="11.3125" customWidth="1"/>
    <col min="5" max="5" width="9" customWidth="1"/>
    <col min="7" max="10" width="9" customWidth="1"/>
  </cols>
  <sheetData>
    <row r="1" spans="1:11" x14ac:dyDescent="0.7">
      <c r="A1" s="3" t="s">
        <v>5</v>
      </c>
      <c r="B1" s="3"/>
      <c r="C1" s="3"/>
      <c r="D1" s="3"/>
      <c r="F1" s="22" t="s">
        <v>15</v>
      </c>
      <c r="G1" s="22"/>
    </row>
    <row r="3" spans="1:11" ht="17.649999999999999" customHeight="1" x14ac:dyDescent="0.7">
      <c r="A3" s="5" t="s">
        <v>1</v>
      </c>
      <c r="B3" s="5" t="s">
        <v>2</v>
      </c>
      <c r="C3" s="5" t="s">
        <v>3</v>
      </c>
      <c r="D3" s="5" t="s">
        <v>4</v>
      </c>
      <c r="F3" s="5" t="s">
        <v>18</v>
      </c>
      <c r="G3" s="5" t="s">
        <v>19</v>
      </c>
    </row>
    <row r="4" spans="1:11" x14ac:dyDescent="0.7">
      <c r="A4" s="1">
        <v>1</v>
      </c>
      <c r="B4" s="12">
        <v>0.94</v>
      </c>
      <c r="C4" s="8">
        <v>1.26</v>
      </c>
      <c r="D4" s="10">
        <v>1.56</v>
      </c>
      <c r="F4" s="21">
        <f>COLUMNS(B3:D3)</f>
        <v>3</v>
      </c>
      <c r="G4" s="23"/>
    </row>
    <row r="5" spans="1:11" x14ac:dyDescent="0.7">
      <c r="A5" s="1">
        <v>2</v>
      </c>
      <c r="B5" s="8">
        <v>1.6</v>
      </c>
      <c r="C5" s="8">
        <v>1.92</v>
      </c>
      <c r="D5" s="10">
        <v>2.2599999999999998</v>
      </c>
    </row>
    <row r="6" spans="1:11" x14ac:dyDescent="0.7">
      <c r="A6" s="1">
        <v>3</v>
      </c>
      <c r="B6" s="8">
        <v>2.85</v>
      </c>
      <c r="C6" s="10">
        <v>2.94</v>
      </c>
      <c r="D6" s="10">
        <v>3.45</v>
      </c>
      <c r="F6" s="22" t="s">
        <v>6</v>
      </c>
      <c r="G6" s="22"/>
      <c r="H6" s="22"/>
      <c r="I6" s="22"/>
      <c r="J6" s="22"/>
      <c r="K6" s="22"/>
    </row>
    <row r="7" spans="1:11" x14ac:dyDescent="0.7">
      <c r="A7" s="1">
        <v>4</v>
      </c>
      <c r="B7" s="8">
        <v>1.53</v>
      </c>
      <c r="C7" s="13">
        <v>1.86</v>
      </c>
      <c r="D7" s="10">
        <v>2.21</v>
      </c>
    </row>
    <row r="8" spans="1:11" x14ac:dyDescent="0.7">
      <c r="A8" s="1">
        <v>5</v>
      </c>
      <c r="B8" s="8">
        <v>2.2799999999999998</v>
      </c>
      <c r="C8" s="8">
        <v>2.6</v>
      </c>
      <c r="D8" s="10">
        <v>2.77</v>
      </c>
      <c r="F8" s="5" t="s">
        <v>20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</row>
    <row r="9" spans="1:11" x14ac:dyDescent="0.7">
      <c r="A9" s="1">
        <v>6</v>
      </c>
      <c r="B9" s="8">
        <v>0.96</v>
      </c>
      <c r="C9" s="10">
        <v>1.27</v>
      </c>
      <c r="D9" s="10">
        <v>1.57</v>
      </c>
      <c r="F9" s="14" t="s">
        <v>21</v>
      </c>
      <c r="G9" s="18"/>
      <c r="I9" s="2"/>
      <c r="J9" s="2"/>
      <c r="K9" s="2"/>
    </row>
    <row r="10" spans="1:11" x14ac:dyDescent="0.7">
      <c r="A10" s="1">
        <v>7</v>
      </c>
      <c r="B10" s="8">
        <v>2.2999999999999998</v>
      </c>
      <c r="C10" s="10">
        <v>2.79</v>
      </c>
      <c r="D10" s="10">
        <v>2.98</v>
      </c>
      <c r="F10" s="14" t="s">
        <v>22</v>
      </c>
      <c r="G10" s="18"/>
      <c r="I10" s="2"/>
    </row>
    <row r="11" spans="1:11" x14ac:dyDescent="0.7">
      <c r="A11" s="1">
        <v>8</v>
      </c>
      <c r="B11" s="8">
        <v>1.99</v>
      </c>
      <c r="C11" s="10">
        <v>2.0699999999999998</v>
      </c>
      <c r="D11" s="10">
        <v>2.59</v>
      </c>
      <c r="F11" s="5" t="s">
        <v>13</v>
      </c>
      <c r="G11" s="19"/>
      <c r="H11" s="20"/>
      <c r="I11" s="21"/>
      <c r="J11" s="21"/>
      <c r="K11" s="21"/>
    </row>
    <row r="12" spans="1:11" x14ac:dyDescent="0.7">
      <c r="A12" s="1">
        <v>9</v>
      </c>
      <c r="B12" s="12">
        <v>3.01</v>
      </c>
      <c r="C12" s="12">
        <v>3.29</v>
      </c>
      <c r="D12" s="13">
        <v>3.59</v>
      </c>
    </row>
    <row r="13" spans="1:11" x14ac:dyDescent="0.7">
      <c r="A13" s="1">
        <v>10</v>
      </c>
      <c r="B13" s="8">
        <v>1.91</v>
      </c>
      <c r="C13" s="8">
        <v>2</v>
      </c>
      <c r="D13" s="10">
        <v>2.48</v>
      </c>
      <c r="G13" s="2"/>
    </row>
    <row r="14" spans="1:11" x14ac:dyDescent="0.7">
      <c r="A14" s="1">
        <v>11</v>
      </c>
      <c r="B14" s="8">
        <v>1.4</v>
      </c>
      <c r="C14" s="8">
        <v>1.74</v>
      </c>
      <c r="D14" s="10">
        <v>2.1</v>
      </c>
    </row>
    <row r="15" spans="1:11" x14ac:dyDescent="0.7">
      <c r="A15" s="1">
        <v>12</v>
      </c>
      <c r="B15" s="8">
        <v>1.79</v>
      </c>
      <c r="C15" s="10">
        <v>1.97</v>
      </c>
      <c r="D15" s="10">
        <v>2.4500000000000002</v>
      </c>
    </row>
    <row r="16" spans="1:11" x14ac:dyDescent="0.7">
      <c r="A16" s="1">
        <v>13</v>
      </c>
      <c r="B16" s="8">
        <v>2.61</v>
      </c>
      <c r="C16" s="8">
        <v>2.91</v>
      </c>
      <c r="D16" s="10">
        <v>3.04</v>
      </c>
    </row>
    <row r="17" spans="1:7" x14ac:dyDescent="0.7">
      <c r="A17" s="1">
        <v>14</v>
      </c>
      <c r="B17" s="8">
        <v>2.15</v>
      </c>
      <c r="C17" s="10">
        <v>2.37</v>
      </c>
      <c r="D17" s="10">
        <v>2.66</v>
      </c>
    </row>
    <row r="18" spans="1:7" x14ac:dyDescent="0.7">
      <c r="A18" s="1">
        <v>15</v>
      </c>
      <c r="B18" s="8">
        <v>1.37</v>
      </c>
      <c r="C18" s="10">
        <v>1.66</v>
      </c>
      <c r="D18" s="10">
        <v>2.09</v>
      </c>
    </row>
    <row r="19" spans="1:7" x14ac:dyDescent="0.7">
      <c r="A19" s="1">
        <v>16</v>
      </c>
      <c r="B19" s="8">
        <v>2.0699999999999998</v>
      </c>
      <c r="C19" s="8">
        <v>2.1</v>
      </c>
      <c r="D19" s="10">
        <v>2.61</v>
      </c>
    </row>
    <row r="20" spans="1:7" x14ac:dyDescent="0.7">
      <c r="A20" s="1">
        <v>17</v>
      </c>
      <c r="B20" s="8">
        <v>2.17</v>
      </c>
      <c r="C20" s="10">
        <v>2.39</v>
      </c>
      <c r="D20" s="10">
        <v>2.75</v>
      </c>
    </row>
    <row r="21" spans="1:7" x14ac:dyDescent="0.7">
      <c r="A21" s="1">
        <v>18</v>
      </c>
      <c r="B21" s="8">
        <v>1.31</v>
      </c>
      <c r="C21" s="10">
        <v>1.4</v>
      </c>
      <c r="D21" s="10">
        <v>1.62</v>
      </c>
      <c r="G21" s="15"/>
    </row>
    <row r="22" spans="1:7" x14ac:dyDescent="0.7">
      <c r="A22" s="1">
        <v>19</v>
      </c>
      <c r="B22" s="8">
        <v>1.97</v>
      </c>
      <c r="C22" s="10">
        <v>2.0699999999999998</v>
      </c>
      <c r="D22" s="13">
        <v>2.48</v>
      </c>
    </row>
    <row r="23" spans="1:7" x14ac:dyDescent="0.7">
      <c r="A23" s="7">
        <v>20</v>
      </c>
      <c r="B23" s="9">
        <v>1.77</v>
      </c>
      <c r="C23" s="9">
        <v>1.95</v>
      </c>
      <c r="D23" s="11">
        <v>2.39</v>
      </c>
    </row>
    <row r="24" spans="1:7" x14ac:dyDescent="0.7">
      <c r="A24" s="17" t="s">
        <v>17</v>
      </c>
      <c r="B24" s="16">
        <f>COUNT(B4:B23)</f>
        <v>20</v>
      </c>
      <c r="C24" s="16">
        <f t="shared" ref="C24:D24" si="0">COUNT(C4:C23)</f>
        <v>20</v>
      </c>
      <c r="D24" s="16">
        <f t="shared" si="0"/>
        <v>20</v>
      </c>
    </row>
    <row r="25" spans="1:7" x14ac:dyDescent="0.7">
      <c r="A25" s="4" t="s">
        <v>14</v>
      </c>
      <c r="B25" s="10">
        <f>SUM(B4:B23)</f>
        <v>37.980000000000004</v>
      </c>
      <c r="C25" s="10">
        <f t="shared" ref="C25:D25" si="1">SUM(C4:C23)</f>
        <v>42.56</v>
      </c>
      <c r="D25" s="10">
        <f t="shared" si="1"/>
        <v>49.650000000000006</v>
      </c>
    </row>
    <row r="26" spans="1:7" x14ac:dyDescent="0.7">
      <c r="A26" s="6" t="s">
        <v>7</v>
      </c>
      <c r="B26" s="11">
        <f>AVERAGE(B4:B23)</f>
        <v>1.8990000000000002</v>
      </c>
      <c r="C26" s="11">
        <f t="shared" ref="C26:D26" si="2">AVERAGE(C4:C23)</f>
        <v>2.1280000000000001</v>
      </c>
      <c r="D26" s="11">
        <f t="shared" si="2"/>
        <v>2.4825000000000004</v>
      </c>
    </row>
    <row r="27" spans="1:7" x14ac:dyDescent="0.7">
      <c r="A27" s="1"/>
    </row>
    <row r="28" spans="1:7" x14ac:dyDescent="0.7">
      <c r="A28" s="1"/>
    </row>
    <row r="29" spans="1:7" x14ac:dyDescent="0.7">
      <c r="A29" s="1"/>
    </row>
  </sheetData>
  <sortState xmlns:xlrd2="http://schemas.microsoft.com/office/spreadsheetml/2017/richdata2" ref="B5:E23">
    <sortCondition ref="E4:E23"/>
  </sortState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6640-950C-4128-98B9-45C4D6B21F2E}">
  <dimension ref="A1:K29"/>
  <sheetViews>
    <sheetView workbookViewId="0">
      <selection activeCell="G4" sqref="G4"/>
    </sheetView>
  </sheetViews>
  <sheetFormatPr defaultRowHeight="17.649999999999999" x14ac:dyDescent="0.7"/>
  <cols>
    <col min="1" max="1" width="6.375" customWidth="1"/>
    <col min="2" max="4" width="11.3125" customWidth="1"/>
    <col min="5" max="5" width="9" customWidth="1"/>
    <col min="7" max="10" width="9" customWidth="1"/>
  </cols>
  <sheetData>
    <row r="1" spans="1:11" x14ac:dyDescent="0.7">
      <c r="A1" s="3" t="s">
        <v>5</v>
      </c>
      <c r="B1" s="3"/>
      <c r="C1" s="3"/>
      <c r="D1" s="3"/>
      <c r="F1" s="22" t="s">
        <v>15</v>
      </c>
      <c r="G1" s="22"/>
    </row>
    <row r="3" spans="1:11" ht="17.649999999999999" customHeight="1" x14ac:dyDescent="0.7">
      <c r="A3" s="5" t="s">
        <v>1</v>
      </c>
      <c r="B3" s="5" t="s">
        <v>2</v>
      </c>
      <c r="C3" s="5" t="s">
        <v>3</v>
      </c>
      <c r="D3" s="5" t="s">
        <v>4</v>
      </c>
      <c r="F3" s="5" t="s">
        <v>18</v>
      </c>
      <c r="G3" s="5" t="s">
        <v>16</v>
      </c>
    </row>
    <row r="4" spans="1:11" x14ac:dyDescent="0.7">
      <c r="A4" s="1">
        <v>1</v>
      </c>
      <c r="B4" s="12">
        <v>0.94</v>
      </c>
      <c r="C4" s="8">
        <v>1.26</v>
      </c>
      <c r="D4" s="10">
        <v>1.56</v>
      </c>
      <c r="F4" s="21">
        <f>COLUMNS(B3:D3)</f>
        <v>3</v>
      </c>
      <c r="G4" s="23">
        <f>AVERAGE(B4:D23)</f>
        <v>2.1698333333333335</v>
      </c>
    </row>
    <row r="5" spans="1:11" x14ac:dyDescent="0.7">
      <c r="A5" s="1">
        <v>2</v>
      </c>
      <c r="B5" s="8">
        <v>1.6</v>
      </c>
      <c r="C5" s="8">
        <v>1.92</v>
      </c>
      <c r="D5" s="10">
        <v>2.2599999999999998</v>
      </c>
    </row>
    <row r="6" spans="1:11" x14ac:dyDescent="0.7">
      <c r="A6" s="1">
        <v>3</v>
      </c>
      <c r="B6" s="8">
        <v>2.85</v>
      </c>
      <c r="C6" s="10">
        <v>2.94</v>
      </c>
      <c r="D6" s="10">
        <v>3.45</v>
      </c>
      <c r="F6" s="22" t="s">
        <v>6</v>
      </c>
      <c r="G6" s="22"/>
      <c r="H6" s="22"/>
      <c r="I6" s="22"/>
      <c r="J6" s="22"/>
      <c r="K6" s="22"/>
    </row>
    <row r="7" spans="1:11" x14ac:dyDescent="0.7">
      <c r="A7" s="1">
        <v>4</v>
      </c>
      <c r="B7" s="8">
        <v>1.53</v>
      </c>
      <c r="C7" s="13">
        <v>1.86</v>
      </c>
      <c r="D7" s="10">
        <v>2.21</v>
      </c>
    </row>
    <row r="8" spans="1:11" x14ac:dyDescent="0.7">
      <c r="A8" s="1">
        <v>5</v>
      </c>
      <c r="B8" s="8">
        <v>2.2799999999999998</v>
      </c>
      <c r="C8" s="8">
        <v>2.6</v>
      </c>
      <c r="D8" s="10">
        <v>2.77</v>
      </c>
      <c r="F8" s="5" t="s">
        <v>20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</row>
    <row r="9" spans="1:11" x14ac:dyDescent="0.7">
      <c r="A9" s="1">
        <v>6</v>
      </c>
      <c r="B9" s="8">
        <v>0.96</v>
      </c>
      <c r="C9" s="10">
        <v>1.27</v>
      </c>
      <c r="D9" s="10">
        <v>1.57</v>
      </c>
      <c r="F9" s="14" t="s">
        <v>21</v>
      </c>
      <c r="G9" s="18">
        <f>G11-G10</f>
        <v>3.4572233333333351</v>
      </c>
      <c r="H9">
        <f>F4-1</f>
        <v>2</v>
      </c>
      <c r="I9" s="2" cm="1">
        <f t="array" ref="I9:I10">G9:G10/H9:H10</f>
        <v>1.7286116666666675</v>
      </c>
      <c r="J9" s="2">
        <f>I9/I10</f>
        <v>5.5197895294102848</v>
      </c>
      <c r="K9" s="2">
        <f>_xlfn.F.DIST.RT(J9,H9,H10)</f>
        <v>6.4376486593181077E-3</v>
      </c>
    </row>
    <row r="10" spans="1:11" x14ac:dyDescent="0.7">
      <c r="A10" s="1">
        <v>7</v>
      </c>
      <c r="B10" s="8">
        <v>2.2999999999999998</v>
      </c>
      <c r="C10" s="10">
        <v>2.79</v>
      </c>
      <c r="D10" s="10">
        <v>2.98</v>
      </c>
      <c r="F10" s="14" t="s">
        <v>22</v>
      </c>
      <c r="G10" s="18" cm="1">
        <f t="array" ref="G10">SUMSQ(B4:D23-B26:D26)</f>
        <v>17.850474999999999</v>
      </c>
      <c r="H10">
        <f>SUM(B24:D24)-F4</f>
        <v>57</v>
      </c>
      <c r="I10" s="2">
        <v>0.31316622807017541</v>
      </c>
    </row>
    <row r="11" spans="1:11" x14ac:dyDescent="0.7">
      <c r="A11" s="1">
        <v>8</v>
      </c>
      <c r="B11" s="8">
        <v>1.99</v>
      </c>
      <c r="C11" s="10">
        <v>2.0699999999999998</v>
      </c>
      <c r="D11" s="10">
        <v>2.59</v>
      </c>
      <c r="F11" s="5" t="s">
        <v>13</v>
      </c>
      <c r="G11" s="19" cm="1">
        <f t="array" ref="G11">SUMSQ(B4:D23-G4)</f>
        <v>21.307698333333335</v>
      </c>
      <c r="H11" s="20"/>
      <c r="I11" s="21"/>
      <c r="J11" s="21"/>
      <c r="K11" s="21"/>
    </row>
    <row r="12" spans="1:11" x14ac:dyDescent="0.7">
      <c r="A12" s="1">
        <v>9</v>
      </c>
      <c r="B12" s="12">
        <v>3.01</v>
      </c>
      <c r="C12" s="12">
        <v>3.29</v>
      </c>
      <c r="D12" s="13">
        <v>3.59</v>
      </c>
    </row>
    <row r="13" spans="1:11" x14ac:dyDescent="0.7">
      <c r="A13" s="1">
        <v>10</v>
      </c>
      <c r="B13" s="8">
        <v>1.91</v>
      </c>
      <c r="C13" s="8">
        <v>2</v>
      </c>
      <c r="D13" s="10">
        <v>2.48</v>
      </c>
      <c r="G13" s="2"/>
    </row>
    <row r="14" spans="1:11" x14ac:dyDescent="0.7">
      <c r="A14" s="1">
        <v>11</v>
      </c>
      <c r="B14" s="8">
        <v>1.4</v>
      </c>
      <c r="C14" s="8">
        <v>1.74</v>
      </c>
      <c r="D14" s="10">
        <v>2.1</v>
      </c>
    </row>
    <row r="15" spans="1:11" x14ac:dyDescent="0.7">
      <c r="A15" s="1">
        <v>12</v>
      </c>
      <c r="B15" s="8">
        <v>1.79</v>
      </c>
      <c r="C15" s="10">
        <v>1.97</v>
      </c>
      <c r="D15" s="10">
        <v>2.4500000000000002</v>
      </c>
    </row>
    <row r="16" spans="1:11" x14ac:dyDescent="0.7">
      <c r="A16" s="1">
        <v>13</v>
      </c>
      <c r="B16" s="8">
        <v>2.61</v>
      </c>
      <c r="C16" s="8">
        <v>2.91</v>
      </c>
      <c r="D16" s="10">
        <v>3.04</v>
      </c>
    </row>
    <row r="17" spans="1:7" x14ac:dyDescent="0.7">
      <c r="A17" s="1">
        <v>14</v>
      </c>
      <c r="B17" s="8">
        <v>2.15</v>
      </c>
      <c r="C17" s="10">
        <v>2.37</v>
      </c>
      <c r="D17" s="10">
        <v>2.66</v>
      </c>
    </row>
    <row r="18" spans="1:7" x14ac:dyDescent="0.7">
      <c r="A18" s="1">
        <v>15</v>
      </c>
      <c r="B18" s="8">
        <v>1.37</v>
      </c>
      <c r="C18" s="10">
        <v>1.66</v>
      </c>
      <c r="D18" s="10">
        <v>2.09</v>
      </c>
    </row>
    <row r="19" spans="1:7" x14ac:dyDescent="0.7">
      <c r="A19" s="1">
        <v>16</v>
      </c>
      <c r="B19" s="8">
        <v>2.0699999999999998</v>
      </c>
      <c r="C19" s="8">
        <v>2.1</v>
      </c>
      <c r="D19" s="10">
        <v>2.61</v>
      </c>
    </row>
    <row r="20" spans="1:7" x14ac:dyDescent="0.7">
      <c r="A20" s="1">
        <v>17</v>
      </c>
      <c r="B20" s="8">
        <v>2.17</v>
      </c>
      <c r="C20" s="10">
        <v>2.39</v>
      </c>
      <c r="D20" s="10">
        <v>2.75</v>
      </c>
    </row>
    <row r="21" spans="1:7" x14ac:dyDescent="0.7">
      <c r="A21" s="1">
        <v>18</v>
      </c>
      <c r="B21" s="8">
        <v>1.31</v>
      </c>
      <c r="C21" s="10">
        <v>1.4</v>
      </c>
      <c r="D21" s="10">
        <v>1.62</v>
      </c>
      <c r="G21" s="15"/>
    </row>
    <row r="22" spans="1:7" x14ac:dyDescent="0.7">
      <c r="A22" s="1">
        <v>19</v>
      </c>
      <c r="B22" s="8">
        <v>1.97</v>
      </c>
      <c r="C22" s="10">
        <v>2.0699999999999998</v>
      </c>
      <c r="D22" s="13">
        <v>2.48</v>
      </c>
    </row>
    <row r="23" spans="1:7" x14ac:dyDescent="0.7">
      <c r="A23" s="7">
        <v>20</v>
      </c>
      <c r="B23" s="9">
        <v>1.77</v>
      </c>
      <c r="C23" s="9">
        <v>1.95</v>
      </c>
      <c r="D23" s="11">
        <v>2.39</v>
      </c>
    </row>
    <row r="24" spans="1:7" x14ac:dyDescent="0.7">
      <c r="A24" s="17" t="s">
        <v>0</v>
      </c>
      <c r="B24" s="16">
        <f>COUNT(B4:B23)</f>
        <v>20</v>
      </c>
      <c r="C24" s="16">
        <f t="shared" ref="C24:D24" si="0">COUNT(C4:C23)</f>
        <v>20</v>
      </c>
      <c r="D24" s="16">
        <f t="shared" si="0"/>
        <v>20</v>
      </c>
    </row>
    <row r="25" spans="1:7" x14ac:dyDescent="0.7">
      <c r="A25" s="4" t="s">
        <v>14</v>
      </c>
      <c r="B25" s="10">
        <f>SUM(B4:B23)</f>
        <v>37.980000000000004</v>
      </c>
      <c r="C25" s="10">
        <f t="shared" ref="C25:D25" si="1">SUM(C4:C23)</f>
        <v>42.56</v>
      </c>
      <c r="D25" s="10">
        <f t="shared" si="1"/>
        <v>49.650000000000006</v>
      </c>
    </row>
    <row r="26" spans="1:7" x14ac:dyDescent="0.7">
      <c r="A26" s="6" t="s">
        <v>7</v>
      </c>
      <c r="B26" s="11">
        <f>AVERAGE(B4:B23)</f>
        <v>1.8990000000000002</v>
      </c>
      <c r="C26" s="11">
        <f t="shared" ref="C26:D26" si="2">AVERAGE(C4:C23)</f>
        <v>2.1280000000000001</v>
      </c>
      <c r="D26" s="11">
        <f t="shared" si="2"/>
        <v>2.4825000000000004</v>
      </c>
    </row>
    <row r="27" spans="1:7" x14ac:dyDescent="0.7">
      <c r="A27" s="1"/>
    </row>
    <row r="28" spans="1:7" x14ac:dyDescent="0.7">
      <c r="A28" s="1"/>
    </row>
    <row r="29" spans="1:7" x14ac:dyDescent="0.7">
      <c r="A29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1要因分散分析</vt:lpstr>
      <vt:lpstr>1要因分散分析 (作成例)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2026-02-08T22:49:42Z</dcterms:created>
  <dcterms:modified xsi:type="dcterms:W3CDTF">2026-02-26T11:33:37Z</dcterms:modified>
</cp:coreProperties>
</file>