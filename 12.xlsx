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iros-h\Documents\サンプル\"/>
    </mc:Choice>
  </mc:AlternateContent>
  <xr:revisionPtr revIDLastSave="0" documentId="13_ncr:1_{EB99E748-C89A-4D99-B360-B1DA4572FCEE}" xr6:coauthVersionLast="47" xr6:coauthVersionMax="47" xr10:uidLastSave="{00000000-0000-0000-0000-000000000000}"/>
  <bookViews>
    <workbookView xWindow="6690" yWindow="2700" windowWidth="28170" windowHeight="15045" xr2:uid="{43A727E7-E0DD-4276-BE22-A0C497C034AF}"/>
  </bookViews>
  <sheets>
    <sheet name="アンサリ・ブラッドレイ検定" sheetId="15" r:id="rId1"/>
    <sheet name="アンサリ・ブラッドレイ検定 (作成例)" sheetId="21" r:id="rId2"/>
    <sheet name="アンサリ・ブラッドレイ検定 (Nが奇数)" sheetId="18" r:id="rId3"/>
    <sheet name="アンサリ・ブラッドレイ検定 (Nが奇数、作成例)" sheetId="22" r:id="rId4"/>
  </sheets>
  <definedNames>
    <definedName name="RMSE">_xlfn.LAMBDA(_xlpm.a,_xlpm.b,_xlpm.x,_xlpm.y,SQRT(SUM(((_xlpm.a*_xlpm.x+_xlpm.b)-_xlpm.y)^2)/COUNT(_xlpm.y)))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22" l="1"/>
  <c r="B26" i="22"/>
  <c r="C25" i="22"/>
  <c r="B25" i="22"/>
  <c r="C24" i="22"/>
  <c r="B24" i="22"/>
  <c r="Q4" i="22" a="1"/>
  <c r="Q4" i="22" s="1"/>
  <c r="G4" i="22"/>
  <c r="G26" i="22" s="1"/>
  <c r="G4" i="22" a="1"/>
  <c r="F4" i="22" a="1"/>
  <c r="F4" i="22" s="1"/>
  <c r="C26" i="21"/>
  <c r="B26" i="21"/>
  <c r="C25" i="21"/>
  <c r="B25" i="21"/>
  <c r="G24" i="21"/>
  <c r="C24" i="21"/>
  <c r="B24" i="21"/>
  <c r="Q4" i="21" a="1"/>
  <c r="Q4" i="21" s="1"/>
  <c r="G4" i="21"/>
  <c r="G26" i="21" s="1"/>
  <c r="G4" i="21" a="1"/>
  <c r="F4" i="21" a="1"/>
  <c r="F4" i="21" s="1"/>
  <c r="C26" i="18"/>
  <c r="G25" i="18"/>
  <c r="C24" i="18"/>
  <c r="B26" i="18"/>
  <c r="B24" i="18"/>
  <c r="C26" i="15"/>
  <c r="B26" i="15"/>
  <c r="C24" i="15"/>
  <c r="B24" i="15"/>
  <c r="R4" i="22" l="1"/>
  <c r="P9" i="22" s="1"/>
  <c r="F24" i="22"/>
  <c r="F25" i="22"/>
  <c r="I4" i="22" a="1"/>
  <c r="I4" i="22" s="1"/>
  <c r="F26" i="22"/>
  <c r="G25" i="22"/>
  <c r="G24" i="22"/>
  <c r="R4" i="21"/>
  <c r="P9" i="21" s="1"/>
  <c r="F24" i="21"/>
  <c r="F25" i="21"/>
  <c r="F26" i="21"/>
  <c r="I4" i="21" a="1"/>
  <c r="I4" i="21" s="1"/>
  <c r="G25" i="21"/>
  <c r="G26" i="18"/>
  <c r="G24" i="18"/>
  <c r="F24" i="18"/>
  <c r="F26" i="18"/>
  <c r="F25" i="18"/>
  <c r="G25" i="15"/>
  <c r="G24" i="15"/>
  <c r="G26" i="15"/>
  <c r="F25" i="15"/>
  <c r="F24" i="15"/>
  <c r="F26" i="15"/>
  <c r="K4" i="22" l="1" a="1"/>
  <c r="L4" i="22" a="1"/>
  <c r="L4" i="22" s="1"/>
  <c r="L4" i="21" a="1"/>
  <c r="L4" i="21" s="1"/>
  <c r="K4" i="21" a="1"/>
  <c r="M42" i="22" l="1"/>
  <c r="M38" i="22"/>
  <c r="M34" i="22"/>
  <c r="M30" i="22"/>
  <c r="M26" i="22"/>
  <c r="M22" i="22"/>
  <c r="M18" i="22"/>
  <c r="M14" i="22"/>
  <c r="K4" i="22"/>
  <c r="M4" i="22" s="1"/>
  <c r="M41" i="22"/>
  <c r="M37" i="22"/>
  <c r="M33" i="22"/>
  <c r="M29" i="22"/>
  <c r="M25" i="22"/>
  <c r="M21" i="22"/>
  <c r="M17" i="22"/>
  <c r="M13" i="22"/>
  <c r="M11" i="22"/>
  <c r="M9" i="22"/>
  <c r="M7" i="22"/>
  <c r="M39" i="22"/>
  <c r="M35" i="22"/>
  <c r="M31" i="22"/>
  <c r="M27" i="22"/>
  <c r="M23" i="22"/>
  <c r="M19" i="22"/>
  <c r="M15" i="22"/>
  <c r="M12" i="22"/>
  <c r="M10" i="22"/>
  <c r="M5" i="22"/>
  <c r="M40" i="22"/>
  <c r="M36" i="22"/>
  <c r="M32" i="22"/>
  <c r="M28" i="22"/>
  <c r="M24" i="22"/>
  <c r="M20" i="22"/>
  <c r="M16" i="22"/>
  <c r="M8" i="22"/>
  <c r="M6" i="22"/>
  <c r="M42" i="21"/>
  <c r="M38" i="21"/>
  <c r="M34" i="21"/>
  <c r="M30" i="21"/>
  <c r="M26" i="21"/>
  <c r="M22" i="21"/>
  <c r="M18" i="21"/>
  <c r="M14" i="21"/>
  <c r="K4" i="21"/>
  <c r="M4" i="21" s="1"/>
  <c r="M43" i="21"/>
  <c r="M27" i="21"/>
  <c r="M23" i="21"/>
  <c r="M19" i="21"/>
  <c r="M15" i="21"/>
  <c r="M12" i="21"/>
  <c r="M10" i="21"/>
  <c r="M5" i="21"/>
  <c r="M41" i="21"/>
  <c r="M37" i="21"/>
  <c r="M33" i="21"/>
  <c r="M29" i="21"/>
  <c r="M25" i="21"/>
  <c r="M21" i="21"/>
  <c r="M17" i="21"/>
  <c r="M13" i="21"/>
  <c r="M11" i="21"/>
  <c r="M9" i="21"/>
  <c r="M7" i="21"/>
  <c r="M40" i="21"/>
  <c r="M36" i="21"/>
  <c r="M32" i="21"/>
  <c r="M28" i="21"/>
  <c r="M24" i="21"/>
  <c r="M20" i="21"/>
  <c r="M16" i="21"/>
  <c r="M8" i="21"/>
  <c r="M6" i="21"/>
  <c r="M39" i="21"/>
  <c r="M35" i="21"/>
  <c r="M31" i="21"/>
  <c r="P7" i="22" l="1" a="1"/>
  <c r="P7" i="22" s="1"/>
  <c r="P10" i="22" s="1"/>
  <c r="P4" i="22" a="1"/>
  <c r="P4" i="22" s="1"/>
  <c r="P11" i="22" s="1"/>
  <c r="P12" i="22" s="1"/>
  <c r="P7" i="21" a="1"/>
  <c r="P7" i="21" s="1"/>
  <c r="P10" i="21" s="1"/>
  <c r="P4" i="21" a="1"/>
  <c r="P4" i="21" s="1"/>
  <c r="P11" i="21" s="1"/>
  <c r="P12" i="2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<sst xmlns="http://schemas.openxmlformats.org/spreadsheetml/2006/main" count="362" uniqueCount="55">
  <si>
    <t>P</t>
    <phoneticPr fontId="1"/>
  </si>
  <si>
    <t>平均</t>
    <rPh sb="0" eb="2">
      <t>ヘイキン</t>
    </rPh>
    <phoneticPr fontId="1"/>
  </si>
  <si>
    <t>A</t>
    <phoneticPr fontId="1"/>
  </si>
  <si>
    <t>B</t>
    <phoneticPr fontId="1"/>
  </si>
  <si>
    <t>中央値</t>
    <rPh sb="0" eb="3">
      <t>チュウオウチ</t>
    </rPh>
    <phoneticPr fontId="1"/>
  </si>
  <si>
    <t>サンプル</t>
    <phoneticPr fontId="1"/>
  </si>
  <si>
    <t>順位</t>
    <rPh sb="0" eb="2">
      <t>ジュンイ</t>
    </rPh>
    <phoneticPr fontId="1"/>
  </si>
  <si>
    <t>順位和</t>
    <rPh sb="0" eb="2">
      <t>ジュンイ</t>
    </rPh>
    <rPh sb="2" eb="3">
      <t>ワ</t>
    </rPh>
    <phoneticPr fontId="1"/>
  </si>
  <si>
    <t>z</t>
    <phoneticPr fontId="1"/>
  </si>
  <si>
    <t>群</t>
    <rPh sb="0" eb="1">
      <t>グン</t>
    </rPh>
    <phoneticPr fontId="1"/>
  </si>
  <si>
    <t>データ</t>
    <phoneticPr fontId="1"/>
  </si>
  <si>
    <t>n</t>
    <phoneticPr fontId="1"/>
  </si>
  <si>
    <t>N</t>
    <phoneticPr fontId="1"/>
  </si>
  <si>
    <t>四分位範囲</t>
    <rPh sb="0" eb="3">
      <t>シブンイ</t>
    </rPh>
    <rPh sb="3" eb="5">
      <t>ハンイ</t>
    </rPh>
    <phoneticPr fontId="1"/>
  </si>
  <si>
    <t>刺激感受性テストの結果</t>
    <rPh sb="0" eb="2">
      <t>シゲキ</t>
    </rPh>
    <rPh sb="2" eb="5">
      <t>カンジュセイ</t>
    </rPh>
    <rPh sb="9" eb="11">
      <t>ケッカ</t>
    </rPh>
    <phoneticPr fontId="1"/>
  </si>
  <si>
    <t>内向的</t>
    <rPh sb="0" eb="3">
      <t>ナイコウテキ</t>
    </rPh>
    <phoneticPr fontId="1"/>
  </si>
  <si>
    <t>外交的</t>
    <rPh sb="0" eb="3">
      <t>ガイコウテキ</t>
    </rPh>
    <phoneticPr fontId="1"/>
  </si>
  <si>
    <t>昇順の順位</t>
    <rPh sb="0" eb="2">
      <t>ショウジュン</t>
    </rPh>
    <rPh sb="3" eb="5">
      <t>ジュンイ</t>
    </rPh>
    <phoneticPr fontId="1"/>
  </si>
  <si>
    <t>降順の順位</t>
    <rPh sb="0" eb="2">
      <t>コウジュン</t>
    </rPh>
    <rPh sb="3" eb="5">
      <t>ジュンイ</t>
    </rPh>
    <phoneticPr fontId="1"/>
  </si>
  <si>
    <t>スコア</t>
    <phoneticPr fontId="1"/>
  </si>
  <si>
    <t>アンサリ・ブラッドレイ検定</t>
    <rPh sb="11" eb="13">
      <t>ケンテイ</t>
    </rPh>
    <phoneticPr fontId="1"/>
  </si>
  <si>
    <t>E(W)</t>
    <phoneticPr fontId="1"/>
  </si>
  <si>
    <t>Var(W)</t>
    <phoneticPr fontId="1"/>
  </si>
  <si>
    <t>順位の二乗和</t>
    <rPh sb="0" eb="2">
      <t>ジュンイ</t>
    </rPh>
    <rPh sb="3" eb="5">
      <t>ジジョウ</t>
    </rPh>
    <rPh sb="5" eb="6">
      <t>ワ</t>
    </rPh>
    <phoneticPr fontId="1"/>
  </si>
  <si>
    <t>中央値を0に揃えた結果</t>
    <rPh sb="0" eb="3">
      <t>チュウオウチ</t>
    </rPh>
    <rPh sb="6" eb="7">
      <t>ソロ</t>
    </rPh>
    <rPh sb="9" eb="11">
      <t>ケッカ</t>
    </rPh>
    <phoneticPr fontId="1"/>
  </si>
  <si>
    <t>手順</t>
    <rPh sb="0" eb="2">
      <t>テジュン</t>
    </rPh>
    <phoneticPr fontId="1"/>
  </si>
  <si>
    <t>1. セルB25に「=MEDIAN(B4:B23)」と入力する</t>
    <rPh sb="27" eb="29">
      <t>ニュウリョク</t>
    </rPh>
    <phoneticPr fontId="1"/>
  </si>
  <si>
    <t>3. セルF4に「=B4:B23-B25」と入力する</t>
    <rPh sb="22" eb="24">
      <t>ニュウリョク</t>
    </rPh>
    <phoneticPr fontId="1"/>
  </si>
  <si>
    <t>4. セルG4に「=C4:C23-C25」と入力する（セルF4をコピーしてもよい）</t>
    <rPh sb="22" eb="24">
      <t>ニュウリョク</t>
    </rPh>
    <phoneticPr fontId="1"/>
  </si>
  <si>
    <t>5. セルI4に「=VSTACK(F4:F23,G4:G23)」と入力する</t>
    <rPh sb="33" eb="35">
      <t>ニュウリョク</t>
    </rPh>
    <phoneticPr fontId="1"/>
  </si>
  <si>
    <t>7. セルK4に「=RANK.AVG(I4:I43,I4:I43,1)」と入力する</t>
    <rPh sb="37" eb="39">
      <t>ニュウリョク</t>
    </rPh>
    <phoneticPr fontId="1"/>
  </si>
  <si>
    <t>8. セルL4に「=RANK.AVG(I4:I43,I4:I43,0)」と入力する</t>
    <rPh sb="37" eb="39">
      <t>ニュウリョク</t>
    </rPh>
    <phoneticPr fontId="1"/>
  </si>
  <si>
    <t>10. セルM4をセルM43までコピーする</t>
    <phoneticPr fontId="1"/>
  </si>
  <si>
    <t>11. セルP4に「=SUMIF(J4:J43,O4:O5,M4:M43)」と入力する</t>
    <rPh sb="39" eb="41">
      <t>ニュウリョク</t>
    </rPh>
    <phoneticPr fontId="1"/>
  </si>
  <si>
    <t>12. セルQ4に「=COUNTIF(J4:J43,O4:O5)」と入力する</t>
    <rPh sb="34" eb="36">
      <t>ニュウリョク</t>
    </rPh>
    <phoneticPr fontId="1"/>
  </si>
  <si>
    <t>13. セルR4に「=Q4+Q5」と入力する</t>
    <rPh sb="18" eb="20">
      <t>ニュウリョク</t>
    </rPh>
    <phoneticPr fontId="1"/>
  </si>
  <si>
    <t>14. セルP7に「=SUM(M4:M43^2)」と入力する</t>
    <rPh sb="26" eb="28">
      <t>ニュウリョク</t>
    </rPh>
    <phoneticPr fontId="1"/>
  </si>
  <si>
    <t>15. セルP9に「=Q4*(R4+2)/4」と入力する</t>
    <rPh sb="24" eb="26">
      <t>ニュウリョク</t>
    </rPh>
    <phoneticPr fontId="1"/>
  </si>
  <si>
    <t>16. セルP10に「=Q4*Q5*(16*P7-R4*(R4+2)^2)/(16*R4*(R4-1))」と入力する</t>
    <rPh sb="54" eb="56">
      <t>ニュウリョク</t>
    </rPh>
    <phoneticPr fontId="1"/>
  </si>
  <si>
    <t>17. セルP11に「=(ABS(P4-P9))/SQRT(P10)」と入力する</t>
    <rPh sb="36" eb="38">
      <t>ニュウリョク</t>
    </rPh>
    <phoneticPr fontId="1"/>
  </si>
  <si>
    <t>18. セルP12に「=1-NORM.S.DIST(P11,TRUE)」と入力する</t>
    <rPh sb="37" eb="39">
      <t>ニュウリョク</t>
    </rPh>
    <phoneticPr fontId="1"/>
  </si>
  <si>
    <t>2. セルC25に「=MEDIAN(C4:C23)」と入力する（セルB25をコピーしてもよい）</t>
    <rPh sb="27" eb="29">
      <t>ニュウリョク</t>
    </rPh>
    <phoneticPr fontId="1"/>
  </si>
  <si>
    <t>2. セルC25に「=MEDIAN(C4:C22)」と入力する</t>
    <rPh sb="27" eb="29">
      <t>ニュウリョク</t>
    </rPh>
    <phoneticPr fontId="1"/>
  </si>
  <si>
    <t>4. セルG4に「=C4:C22-C25」と入力する</t>
    <rPh sb="22" eb="24">
      <t>ニュウリョク</t>
    </rPh>
    <phoneticPr fontId="1"/>
  </si>
  <si>
    <t>5. セルI4に「=VSTACK(F4:F23,G4:G22)」と入力する</t>
    <rPh sb="33" eb="35">
      <t>ニュウリョク</t>
    </rPh>
    <phoneticPr fontId="1"/>
  </si>
  <si>
    <t>7. セルK4に「=RANK.AVG(I4:I42,I4:I42,1)」と入力する</t>
    <rPh sb="37" eb="39">
      <t>ニュウリョク</t>
    </rPh>
    <phoneticPr fontId="1"/>
  </si>
  <si>
    <t>8. セルL4に「=RANK.AVG(I4:I42,I4:I42,0)」と入力する</t>
    <rPh sb="37" eb="39">
      <t>ニュウリョク</t>
    </rPh>
    <phoneticPr fontId="1"/>
  </si>
  <si>
    <t>10. セルM4をセルM42までコピーする</t>
    <phoneticPr fontId="1"/>
  </si>
  <si>
    <t>11. セルP4に「=SUMIF(J4:J42,O4:O5,M4:M42)」と入力する</t>
    <rPh sb="39" eb="41">
      <t>ニュウリョク</t>
    </rPh>
    <phoneticPr fontId="1"/>
  </si>
  <si>
    <t>12. セルQ4に「=COUNTIF(J4:J42,O4:O5)」と入力する</t>
    <rPh sb="34" eb="36">
      <t>ニュウリョク</t>
    </rPh>
    <phoneticPr fontId="1"/>
  </si>
  <si>
    <t>14. セルP7に「=SUM(M4:M42^2)」と入力する</t>
    <rPh sb="26" eb="28">
      <t>ニュウリョク</t>
    </rPh>
    <phoneticPr fontId="1"/>
  </si>
  <si>
    <t>15. セルP9に「=Q4*(R4+1)^2/(4*R4)」と入力する</t>
    <rPh sb="31" eb="33">
      <t>ニュウリョク</t>
    </rPh>
    <phoneticPr fontId="1"/>
  </si>
  <si>
    <t>16. セルP10に「=Q4*Q5*(16*R4*P7-(R4+1)^4)/(16*R4^2*(R4-1))」と入力する</t>
    <rPh sb="56" eb="58">
      <t>ニュウリョク</t>
    </rPh>
    <phoneticPr fontId="1"/>
  </si>
  <si>
    <t>9. セルM4に「=MIN(K4,L4)」と入力する</t>
    <rPh sb="22" eb="24">
      <t>ニュウリョク</t>
    </rPh>
    <phoneticPr fontId="1"/>
  </si>
  <si>
    <t>6. J列に群を入力する。内向的をAとし、外向的をBとする（手作業・ここでは入力済み）</t>
    <rPh sb="4" eb="5">
      <t>レツ</t>
    </rPh>
    <rPh sb="6" eb="7">
      <t>グン</t>
    </rPh>
    <rPh sb="8" eb="10">
      <t>ニュウリョク</t>
    </rPh>
    <rPh sb="13" eb="16">
      <t>ナイコウテキ</t>
    </rPh>
    <rPh sb="21" eb="24">
      <t>ガイコウテキ</t>
    </rPh>
    <rPh sb="30" eb="33">
      <t>テサギョウ</t>
    </rPh>
    <rPh sb="38" eb="40">
      <t>ニュウリョク</t>
    </rPh>
    <rPh sb="40" eb="41">
      <t>ズ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</si>
</sst>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"/>
    <numFmt numFmtId="177" formatCode="#,##0.0;[Red]\-#,##0.0"/>
    <numFmt numFmtId="178" formatCode="0.0"/>
    <numFmt numFmtId="179" formatCode="0.0_ "/>
    <numFmt numFmtId="180" formatCode="0.000000000"/>
  </numFmts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 diagonalUp="1">
      <left/>
      <right/>
      <top/>
      <bottom style="thin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0" fillId="0" borderId="2" xfId="0" applyBorder="1">
      <alignment vertical="center"/>
    </xf>
    <xf numFmtId="176" fontId="0" fillId="0" borderId="0" xfId="0" applyNumberFormat="1">
      <alignment vertical="center"/>
    </xf>
    <xf numFmtId="0" fontId="3" fillId="2" borderId="1" xfId="0" applyFont="1" applyFill="1" applyBorder="1" applyAlignment="1">
      <alignment horizontal="centerContinuous" vertical="center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Continuous" vertical="center"/>
    </xf>
    <xf numFmtId="176" fontId="0" fillId="0" borderId="2" xfId="0" applyNumberFormat="1" applyBorder="1">
      <alignment vertical="center"/>
    </xf>
    <xf numFmtId="0" fontId="0" fillId="2" borderId="2" xfId="0" applyFill="1" applyBorder="1" applyAlignment="1">
      <alignment horizontal="centerContinuous" vertical="center"/>
    </xf>
    <xf numFmtId="0" fontId="3" fillId="4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38" fontId="0" fillId="0" borderId="0" xfId="0" applyNumberForma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8" fontId="0" fillId="0" borderId="0" xfId="0" applyNumberFormat="1" applyAlignment="1">
      <alignment horizontal="center" vertical="center"/>
    </xf>
    <xf numFmtId="38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Continuous" vertical="center"/>
    </xf>
    <xf numFmtId="0" fontId="5" fillId="6" borderId="1" xfId="0" applyFont="1" applyFill="1" applyBorder="1" applyAlignment="1">
      <alignment horizontal="centerContinuous" vertical="center"/>
    </xf>
    <xf numFmtId="0" fontId="5" fillId="6" borderId="2" xfId="0" applyFont="1" applyFill="1" applyBorder="1" applyAlignment="1">
      <alignment horizontal="centerContinuous" vertical="center"/>
    </xf>
    <xf numFmtId="0" fontId="3" fillId="4" borderId="3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177" fontId="0" fillId="0" borderId="0" xfId="1" applyNumberFormat="1" applyFont="1">
      <alignment vertical="center"/>
    </xf>
    <xf numFmtId="177" fontId="0" fillId="0" borderId="0" xfId="1" applyNumberFormat="1" applyFont="1" applyBorder="1">
      <alignment vertical="center"/>
    </xf>
    <xf numFmtId="177" fontId="0" fillId="0" borderId="2" xfId="1" applyNumberFormat="1" applyFont="1" applyBorder="1">
      <alignment vertical="center"/>
    </xf>
    <xf numFmtId="40" fontId="0" fillId="0" borderId="0" xfId="1" applyNumberFormat="1" applyFont="1">
      <alignment vertical="center"/>
    </xf>
    <xf numFmtId="40" fontId="0" fillId="0" borderId="2" xfId="1" applyNumberFormat="1" applyFont="1" applyBorder="1">
      <alignment vertical="center"/>
    </xf>
    <xf numFmtId="40" fontId="0" fillId="0" borderId="0" xfId="1" applyNumberFormat="1" applyFont="1" applyBorder="1">
      <alignment vertical="center"/>
    </xf>
    <xf numFmtId="178" fontId="0" fillId="0" borderId="0" xfId="0" applyNumberFormat="1">
      <alignment vertical="center"/>
    </xf>
    <xf numFmtId="0" fontId="6" fillId="3" borderId="2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Continuous" vertical="center"/>
    </xf>
    <xf numFmtId="0" fontId="0" fillId="3" borderId="2" xfId="0" applyFill="1" applyBorder="1" applyAlignment="1">
      <alignment horizontal="centerContinuous"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0" fillId="0" borderId="0" xfId="1" applyNumberFormat="1" applyFont="1">
      <alignment vertical="center"/>
    </xf>
    <xf numFmtId="0" fontId="0" fillId="0" borderId="0" xfId="1" applyNumberFormat="1" applyFont="1" applyBorder="1">
      <alignment vertical="center"/>
    </xf>
    <xf numFmtId="0" fontId="0" fillId="0" borderId="2" xfId="1" applyNumberFormat="1" applyFont="1" applyBorder="1">
      <alignment vertical="center"/>
    </xf>
    <xf numFmtId="2" fontId="0" fillId="0" borderId="0" xfId="1" applyNumberFormat="1" applyFont="1">
      <alignment vertical="center"/>
    </xf>
    <xf numFmtId="2" fontId="0" fillId="0" borderId="0" xfId="1" applyNumberFormat="1" applyFont="1" applyBorder="1">
      <alignment vertical="center"/>
    </xf>
    <xf numFmtId="2" fontId="0" fillId="0" borderId="2" xfId="1" applyNumberFormat="1" applyFont="1" applyBorder="1">
      <alignment vertical="center"/>
    </xf>
    <xf numFmtId="178" fontId="0" fillId="0" borderId="2" xfId="0" applyNumberFormat="1" applyBorder="1">
      <alignment vertical="center"/>
    </xf>
    <xf numFmtId="2" fontId="0" fillId="0" borderId="3" xfId="0" applyNumberFormat="1" applyBorder="1">
      <alignment vertical="center"/>
    </xf>
    <xf numFmtId="178" fontId="0" fillId="0" borderId="1" xfId="0" applyNumberFormat="1" applyBorder="1">
      <alignment vertical="center"/>
    </xf>
    <xf numFmtId="0" fontId="3" fillId="0" borderId="0" xfId="0" applyFont="1" applyFill="1" applyBorder="1" applyAlignment="1">
      <alignment vertical="center"/>
    </xf>
    <xf numFmtId="0" fontId="0" fillId="0" borderId="4" xfId="0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4762</xdr:colOff>
      <xdr:row>7</xdr:row>
      <xdr:rowOff>9526</xdr:rowOff>
    </xdr:from>
    <xdr:to>
      <xdr:col>21</xdr:col>
      <xdr:colOff>660161</xdr:colOff>
      <xdr:row>11</xdr:row>
      <xdr:rowOff>194176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840D2F3-0B5B-4B5D-910B-DD13AEB7E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49137" y="1576389"/>
          <a:ext cx="3398599" cy="1080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21</xdr:col>
      <xdr:colOff>661988</xdr:colOff>
      <xdr:row>9</xdr:row>
      <xdr:rowOff>65586</xdr:rowOff>
    </xdr:from>
    <xdr:to>
      <xdr:col>24</xdr:col>
      <xdr:colOff>49342</xdr:colOff>
      <xdr:row>11</xdr:row>
      <xdr:rowOff>182611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FF11A10-C878-277F-3471-BE50222CD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49563" y="2080124"/>
          <a:ext cx="1444754" cy="564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4762</xdr:colOff>
      <xdr:row>7</xdr:row>
      <xdr:rowOff>9526</xdr:rowOff>
    </xdr:from>
    <xdr:to>
      <xdr:col>21</xdr:col>
      <xdr:colOff>660161</xdr:colOff>
      <xdr:row>11</xdr:row>
      <xdr:rowOff>194176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860E02F-DC48-4560-8C7A-A1F9EF42B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49137" y="1576389"/>
          <a:ext cx="3398599" cy="1080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21</xdr:col>
      <xdr:colOff>661988</xdr:colOff>
      <xdr:row>9</xdr:row>
      <xdr:rowOff>65586</xdr:rowOff>
    </xdr:from>
    <xdr:to>
      <xdr:col>24</xdr:col>
      <xdr:colOff>49342</xdr:colOff>
      <xdr:row>11</xdr:row>
      <xdr:rowOff>182611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A78AF20-5A8A-48A5-B2D4-4D14B7A79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49563" y="2080124"/>
          <a:ext cx="1444754" cy="564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9527</xdr:colOff>
      <xdr:row>7</xdr:row>
      <xdr:rowOff>19144</xdr:rowOff>
    </xdr:from>
    <xdr:to>
      <xdr:col>21</xdr:col>
      <xdr:colOff>664930</xdr:colOff>
      <xdr:row>11</xdr:row>
      <xdr:rowOff>203794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C5FD3E8-5B33-57B5-C95E-A9E4BBE8F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53902" y="1586007"/>
          <a:ext cx="3398603" cy="1080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21</xdr:col>
      <xdr:colOff>642938</xdr:colOff>
      <xdr:row>9</xdr:row>
      <xdr:rowOff>123824</xdr:rowOff>
    </xdr:from>
    <xdr:to>
      <xdr:col>24</xdr:col>
      <xdr:colOff>30292</xdr:colOff>
      <xdr:row>12</xdr:row>
      <xdr:rowOff>17012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0BEFB32-8FBE-470F-949D-6F2A8B13D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30513" y="2138362"/>
          <a:ext cx="1444754" cy="564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9527</xdr:colOff>
      <xdr:row>7</xdr:row>
      <xdr:rowOff>19144</xdr:rowOff>
    </xdr:from>
    <xdr:to>
      <xdr:col>21</xdr:col>
      <xdr:colOff>664930</xdr:colOff>
      <xdr:row>11</xdr:row>
      <xdr:rowOff>203794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E4214320-E162-46E8-895D-BFA6BAF3A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53902" y="1586007"/>
          <a:ext cx="3398603" cy="1080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21</xdr:col>
      <xdr:colOff>642938</xdr:colOff>
      <xdr:row>9</xdr:row>
      <xdr:rowOff>123824</xdr:rowOff>
    </xdr:from>
    <xdr:to>
      <xdr:col>24</xdr:col>
      <xdr:colOff>30292</xdr:colOff>
      <xdr:row>12</xdr:row>
      <xdr:rowOff>17012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2AB0F8D-F4C1-4D2F-956F-5F6B6A8A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30513" y="2138362"/>
          <a:ext cx="1444754" cy="564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DDD45-DA84-4ED0-A535-4B9EB3343EC2}">
  <dimension ref="A1:R43"/>
  <sheetViews>
    <sheetView tabSelected="1" workbookViewId="0">
      <selection activeCell="B25" sqref="B25"/>
    </sheetView>
  </sheetViews>
  <sheetFormatPr defaultRowHeight="17.649999999999999" x14ac:dyDescent="0.7"/>
  <cols>
    <col min="5" max="7" width="9" customWidth="1"/>
    <col min="11" max="12" width="10.3125" customWidth="1"/>
    <col min="15" max="15" width="12.75" customWidth="1"/>
    <col min="16" max="17" width="9" customWidth="1"/>
  </cols>
  <sheetData>
    <row r="1" spans="1:18" x14ac:dyDescent="0.7">
      <c r="A1" s="3" t="s">
        <v>14</v>
      </c>
      <c r="B1" s="6"/>
      <c r="C1" s="8"/>
      <c r="E1" s="3" t="s">
        <v>24</v>
      </c>
      <c r="F1" s="6"/>
      <c r="G1" s="8"/>
      <c r="I1" s="31" t="s">
        <v>6</v>
      </c>
      <c r="J1" s="32"/>
      <c r="K1" s="32"/>
      <c r="L1" s="33"/>
      <c r="M1" s="33"/>
      <c r="O1" s="19" t="s">
        <v>20</v>
      </c>
      <c r="P1" s="20"/>
      <c r="Q1" s="21"/>
      <c r="R1" s="21"/>
    </row>
    <row r="3" spans="1:18" x14ac:dyDescent="0.7">
      <c r="A3" s="5" t="s">
        <v>5</v>
      </c>
      <c r="B3" s="5" t="s">
        <v>15</v>
      </c>
      <c r="C3" s="5" t="s">
        <v>16</v>
      </c>
      <c r="E3" s="5" t="s">
        <v>5</v>
      </c>
      <c r="F3" s="5" t="s">
        <v>15</v>
      </c>
      <c r="G3" s="5" t="s">
        <v>16</v>
      </c>
      <c r="I3" s="4" t="s">
        <v>10</v>
      </c>
      <c r="J3" s="4" t="s">
        <v>9</v>
      </c>
      <c r="K3" s="4" t="s">
        <v>17</v>
      </c>
      <c r="L3" s="4" t="s">
        <v>18</v>
      </c>
      <c r="M3" s="4" t="s">
        <v>19</v>
      </c>
      <c r="O3" s="18" t="s">
        <v>9</v>
      </c>
      <c r="P3" s="18" t="s">
        <v>7</v>
      </c>
      <c r="Q3" s="18" t="s">
        <v>11</v>
      </c>
      <c r="R3" s="18" t="s">
        <v>12</v>
      </c>
    </row>
    <row r="4" spans="1:18" x14ac:dyDescent="0.7">
      <c r="A4">
        <v>1</v>
      </c>
      <c r="B4" s="36">
        <v>4.8</v>
      </c>
      <c r="C4" s="36">
        <v>4.7</v>
      </c>
      <c r="E4">
        <v>1</v>
      </c>
      <c r="F4" s="39"/>
      <c r="G4" s="39"/>
      <c r="H4" s="11"/>
      <c r="I4" s="24"/>
      <c r="J4" s="14" t="s">
        <v>2</v>
      </c>
      <c r="L4" s="30"/>
      <c r="M4" s="30"/>
      <c r="O4" s="16" t="s">
        <v>2</v>
      </c>
    </row>
    <row r="5" spans="1:18" x14ac:dyDescent="0.7">
      <c r="A5">
        <v>2</v>
      </c>
      <c r="B5" s="36">
        <v>5.8</v>
      </c>
      <c r="C5" s="36">
        <v>4.2</v>
      </c>
      <c r="E5">
        <v>2</v>
      </c>
      <c r="F5" s="39"/>
      <c r="G5" s="39"/>
      <c r="H5" s="11"/>
      <c r="I5" s="24"/>
      <c r="J5" s="14" t="s">
        <v>2</v>
      </c>
      <c r="L5" s="30"/>
      <c r="M5" s="30"/>
      <c r="O5" s="17" t="s">
        <v>3</v>
      </c>
      <c r="P5" s="1"/>
      <c r="Q5" s="1"/>
      <c r="R5" s="46"/>
    </row>
    <row r="6" spans="1:18" x14ac:dyDescent="0.7">
      <c r="A6">
        <v>3</v>
      </c>
      <c r="B6" s="36">
        <v>5.4</v>
      </c>
      <c r="C6" s="36">
        <v>4.4000000000000004</v>
      </c>
      <c r="E6">
        <v>3</v>
      </c>
      <c r="F6" s="39"/>
      <c r="G6" s="39"/>
      <c r="H6" s="11"/>
      <c r="I6" s="24"/>
      <c r="J6" s="14" t="s">
        <v>2</v>
      </c>
      <c r="L6" s="30"/>
      <c r="M6" s="30"/>
    </row>
    <row r="7" spans="1:18" x14ac:dyDescent="0.7">
      <c r="A7">
        <v>4</v>
      </c>
      <c r="B7" s="36">
        <v>5.2</v>
      </c>
      <c r="C7" s="36">
        <v>4.4000000000000004</v>
      </c>
      <c r="E7">
        <v>4</v>
      </c>
      <c r="F7" s="39"/>
      <c r="G7" s="39"/>
      <c r="H7" s="11"/>
      <c r="I7" s="24"/>
      <c r="J7" s="14" t="s">
        <v>2</v>
      </c>
      <c r="L7" s="30"/>
      <c r="M7" s="30"/>
      <c r="O7" s="18" t="s">
        <v>23</v>
      </c>
      <c r="P7" s="44"/>
    </row>
    <row r="8" spans="1:18" x14ac:dyDescent="0.7">
      <c r="A8">
        <v>5</v>
      </c>
      <c r="B8" s="36">
        <v>4.4000000000000004</v>
      </c>
      <c r="C8" s="36">
        <v>4.5</v>
      </c>
      <c r="E8">
        <v>5</v>
      </c>
      <c r="F8" s="39"/>
      <c r="G8" s="39"/>
      <c r="H8" s="11"/>
      <c r="I8" s="24"/>
      <c r="J8" s="14" t="s">
        <v>2</v>
      </c>
      <c r="L8" s="30"/>
      <c r="M8" s="30"/>
    </row>
    <row r="9" spans="1:18" x14ac:dyDescent="0.7">
      <c r="A9">
        <v>6</v>
      </c>
      <c r="B9" s="36">
        <v>4.4000000000000004</v>
      </c>
      <c r="C9" s="36">
        <v>4.9000000000000004</v>
      </c>
      <c r="E9">
        <v>6</v>
      </c>
      <c r="F9" s="39"/>
      <c r="G9" s="39"/>
      <c r="H9" s="11"/>
      <c r="I9" s="24"/>
      <c r="J9" s="14" t="s">
        <v>2</v>
      </c>
      <c r="L9" s="30"/>
      <c r="M9" s="30"/>
      <c r="O9" s="22" t="s">
        <v>21</v>
      </c>
      <c r="P9" s="43"/>
    </row>
    <row r="10" spans="1:18" x14ac:dyDescent="0.7">
      <c r="A10">
        <v>7</v>
      </c>
      <c r="B10" s="36">
        <v>4.2</v>
      </c>
      <c r="C10" s="36">
        <v>4.2</v>
      </c>
      <c r="E10">
        <v>7</v>
      </c>
      <c r="F10" s="39"/>
      <c r="G10" s="39"/>
      <c r="H10" s="11"/>
      <c r="I10" s="24"/>
      <c r="J10" s="14" t="s">
        <v>2</v>
      </c>
      <c r="L10" s="30"/>
      <c r="M10" s="30"/>
      <c r="O10" s="9" t="s">
        <v>22</v>
      </c>
      <c r="P10" s="2"/>
    </row>
    <row r="11" spans="1:18" x14ac:dyDescent="0.7">
      <c r="A11">
        <v>8</v>
      </c>
      <c r="B11" s="36">
        <v>5.7</v>
      </c>
      <c r="C11" s="36">
        <v>4.5999999999999996</v>
      </c>
      <c r="E11">
        <v>8</v>
      </c>
      <c r="F11" s="39"/>
      <c r="G11" s="39"/>
      <c r="H11" s="11"/>
      <c r="I11" s="24"/>
      <c r="J11" s="14" t="s">
        <v>2</v>
      </c>
      <c r="L11" s="30"/>
      <c r="M11" s="30"/>
      <c r="O11" s="9" t="s">
        <v>8</v>
      </c>
      <c r="P11" s="2"/>
      <c r="Q11" s="35"/>
    </row>
    <row r="12" spans="1:18" x14ac:dyDescent="0.7">
      <c r="A12">
        <v>9</v>
      </c>
      <c r="B12" s="36">
        <v>5.2</v>
      </c>
      <c r="C12" s="37">
        <v>4.7</v>
      </c>
      <c r="E12">
        <v>9</v>
      </c>
      <c r="F12" s="39"/>
      <c r="G12" s="40"/>
      <c r="H12" s="11"/>
      <c r="I12" s="24"/>
      <c r="J12" s="14" t="s">
        <v>2</v>
      </c>
      <c r="L12" s="30"/>
      <c r="M12" s="30"/>
      <c r="O12" s="10" t="s">
        <v>0</v>
      </c>
      <c r="P12" s="7"/>
    </row>
    <row r="13" spans="1:18" x14ac:dyDescent="0.7">
      <c r="A13">
        <v>10</v>
      </c>
      <c r="B13" s="37">
        <v>5.4</v>
      </c>
      <c r="C13" s="36">
        <v>4.0999999999999996</v>
      </c>
      <c r="E13">
        <v>10</v>
      </c>
      <c r="F13" s="40"/>
      <c r="G13" s="39"/>
      <c r="H13" s="11"/>
      <c r="I13" s="24"/>
      <c r="J13" s="14" t="s">
        <v>2</v>
      </c>
      <c r="L13" s="30"/>
      <c r="M13" s="30"/>
    </row>
    <row r="14" spans="1:18" x14ac:dyDescent="0.7">
      <c r="A14">
        <v>11</v>
      </c>
      <c r="B14" s="36">
        <v>4.0999999999999996</v>
      </c>
      <c r="C14" s="36">
        <v>4.7</v>
      </c>
      <c r="E14">
        <v>11</v>
      </c>
      <c r="F14" s="39"/>
      <c r="G14" s="39"/>
      <c r="H14" s="11"/>
      <c r="I14" s="24"/>
      <c r="J14" s="14" t="s">
        <v>2</v>
      </c>
      <c r="L14" s="30"/>
      <c r="M14" s="30"/>
      <c r="O14" s="45" t="s">
        <v>25</v>
      </c>
    </row>
    <row r="15" spans="1:18" x14ac:dyDescent="0.7">
      <c r="A15">
        <v>12</v>
      </c>
      <c r="B15" s="36">
        <v>5.8</v>
      </c>
      <c r="C15" s="36">
        <v>4.2</v>
      </c>
      <c r="E15">
        <v>12</v>
      </c>
      <c r="F15" s="39"/>
      <c r="G15" s="39"/>
      <c r="H15" s="11"/>
      <c r="I15" s="24"/>
      <c r="J15" s="14" t="s">
        <v>2</v>
      </c>
      <c r="L15" s="30"/>
      <c r="M15" s="30"/>
      <c r="O15" t="s">
        <v>26</v>
      </c>
    </row>
    <row r="16" spans="1:18" x14ac:dyDescent="0.7">
      <c r="A16">
        <v>13</v>
      </c>
      <c r="B16" s="36">
        <v>5.6</v>
      </c>
      <c r="C16" s="36">
        <v>4.0999999999999996</v>
      </c>
      <c r="E16">
        <v>13</v>
      </c>
      <c r="F16" s="39"/>
      <c r="G16" s="39"/>
      <c r="H16" s="11"/>
      <c r="I16" s="24"/>
      <c r="J16" s="14" t="s">
        <v>2</v>
      </c>
      <c r="L16" s="30"/>
      <c r="M16" s="30"/>
      <c r="O16" t="s">
        <v>41</v>
      </c>
      <c r="R16" s="34"/>
    </row>
    <row r="17" spans="1:15" x14ac:dyDescent="0.7">
      <c r="A17">
        <v>14</v>
      </c>
      <c r="B17" s="36">
        <v>4.5</v>
      </c>
      <c r="C17" s="36">
        <v>5.0999999999999996</v>
      </c>
      <c r="E17">
        <v>14</v>
      </c>
      <c r="F17" s="39"/>
      <c r="G17" s="39"/>
      <c r="H17" s="11"/>
      <c r="I17" s="24"/>
      <c r="J17" s="14" t="s">
        <v>2</v>
      </c>
      <c r="L17" s="30"/>
      <c r="M17" s="30"/>
      <c r="O17" t="s">
        <v>27</v>
      </c>
    </row>
    <row r="18" spans="1:15" x14ac:dyDescent="0.7">
      <c r="A18">
        <v>15</v>
      </c>
      <c r="B18" s="36">
        <v>4.4000000000000004</v>
      </c>
      <c r="C18" s="36">
        <v>5.2</v>
      </c>
      <c r="E18">
        <v>15</v>
      </c>
      <c r="F18" s="39"/>
      <c r="G18" s="39"/>
      <c r="H18" s="11"/>
      <c r="I18" s="24"/>
      <c r="J18" s="14" t="s">
        <v>2</v>
      </c>
      <c r="L18" s="30"/>
      <c r="M18" s="30"/>
      <c r="O18" t="s">
        <v>28</v>
      </c>
    </row>
    <row r="19" spans="1:15" x14ac:dyDescent="0.7">
      <c r="A19">
        <v>16</v>
      </c>
      <c r="B19" s="36">
        <v>4.4000000000000004</v>
      </c>
      <c r="C19" s="36">
        <v>5</v>
      </c>
      <c r="E19">
        <v>16</v>
      </c>
      <c r="F19" s="39"/>
      <c r="G19" s="39"/>
      <c r="H19" s="11"/>
      <c r="I19" s="24"/>
      <c r="J19" s="14" t="s">
        <v>2</v>
      </c>
      <c r="L19" s="30"/>
      <c r="M19" s="30"/>
      <c r="O19" t="s">
        <v>29</v>
      </c>
    </row>
    <row r="20" spans="1:15" x14ac:dyDescent="0.7">
      <c r="A20">
        <v>17</v>
      </c>
      <c r="B20" s="36">
        <v>4.5999999999999996</v>
      </c>
      <c r="C20" s="36">
        <v>4.4000000000000004</v>
      </c>
      <c r="E20">
        <v>17</v>
      </c>
      <c r="F20" s="39"/>
      <c r="G20" s="39"/>
      <c r="H20" s="11"/>
      <c r="I20" s="24"/>
      <c r="J20" s="14" t="s">
        <v>2</v>
      </c>
      <c r="L20" s="30"/>
      <c r="M20" s="30"/>
      <c r="O20" t="s">
        <v>54</v>
      </c>
    </row>
    <row r="21" spans="1:15" x14ac:dyDescent="0.7">
      <c r="A21">
        <v>18</v>
      </c>
      <c r="B21" s="36">
        <v>5</v>
      </c>
      <c r="C21" s="36">
        <v>4.0999999999999996</v>
      </c>
      <c r="E21">
        <v>18</v>
      </c>
      <c r="F21" s="39"/>
      <c r="G21" s="39"/>
      <c r="H21" s="11"/>
      <c r="I21" s="24"/>
      <c r="J21" s="14" t="s">
        <v>2</v>
      </c>
      <c r="L21" s="30"/>
      <c r="M21" s="30"/>
      <c r="O21" t="s">
        <v>30</v>
      </c>
    </row>
    <row r="22" spans="1:15" x14ac:dyDescent="0.7">
      <c r="A22">
        <v>19</v>
      </c>
      <c r="B22" s="36">
        <v>4.9000000000000004</v>
      </c>
      <c r="C22" s="36">
        <v>4.8</v>
      </c>
      <c r="E22">
        <v>19</v>
      </c>
      <c r="F22" s="39"/>
      <c r="G22" s="39"/>
      <c r="H22" s="11"/>
      <c r="I22" s="24"/>
      <c r="J22" s="14" t="s">
        <v>2</v>
      </c>
      <c r="L22" s="30"/>
      <c r="M22" s="30"/>
      <c r="O22" t="s">
        <v>31</v>
      </c>
    </row>
    <row r="23" spans="1:15" x14ac:dyDescent="0.7">
      <c r="A23" s="1">
        <v>20</v>
      </c>
      <c r="B23" s="38">
        <v>4.5999999999999996</v>
      </c>
      <c r="C23" s="38">
        <v>4.5</v>
      </c>
      <c r="E23" s="1">
        <v>20</v>
      </c>
      <c r="F23" s="41"/>
      <c r="G23" s="41"/>
      <c r="H23" s="11"/>
      <c r="I23" s="24"/>
      <c r="J23" s="14" t="s">
        <v>2</v>
      </c>
      <c r="L23" s="30"/>
      <c r="M23" s="30"/>
      <c r="O23" t="s">
        <v>53</v>
      </c>
    </row>
    <row r="24" spans="1:15" x14ac:dyDescent="0.7">
      <c r="A24" s="13" t="s">
        <v>1</v>
      </c>
      <c r="B24" s="27">
        <f>AVERAGE(B4:B23)</f>
        <v>4.92</v>
      </c>
      <c r="C24" s="27">
        <f>AVERAGE(C4:C23)</f>
        <v>4.5400000000000009</v>
      </c>
      <c r="E24" s="13" t="s">
        <v>1</v>
      </c>
      <c r="F24" s="27" t="e">
        <f>AVERAGE(F4:F23)</f>
        <v>#DIV/0!</v>
      </c>
      <c r="G24" s="27" t="e">
        <f>AVERAGE(G4:G23)</f>
        <v>#DIV/0!</v>
      </c>
      <c r="I24" s="24"/>
      <c r="J24" s="14" t="s">
        <v>3</v>
      </c>
      <c r="L24" s="30"/>
      <c r="M24" s="30"/>
      <c r="O24" t="s">
        <v>32</v>
      </c>
    </row>
    <row r="25" spans="1:15" x14ac:dyDescent="0.7">
      <c r="A25" s="13" t="s">
        <v>4</v>
      </c>
      <c r="B25" s="29"/>
      <c r="C25" s="29"/>
      <c r="E25" s="13" t="s">
        <v>4</v>
      </c>
      <c r="F25" s="29" t="e">
        <f>MEDIAN(F4:F23)</f>
        <v>#NUM!</v>
      </c>
      <c r="G25" s="29" t="e">
        <f>MEDIAN(G4:G23)</f>
        <v>#NUM!</v>
      </c>
      <c r="I25" s="24"/>
      <c r="J25" s="14" t="s">
        <v>3</v>
      </c>
      <c r="L25" s="30"/>
      <c r="M25" s="30"/>
      <c r="O25" t="s">
        <v>33</v>
      </c>
    </row>
    <row r="26" spans="1:15" x14ac:dyDescent="0.7">
      <c r="A26" s="12" t="s">
        <v>13</v>
      </c>
      <c r="B26" s="28">
        <f>_xlfn.QUARTILE.EXC(B4:B23,3)-_xlfn.QUARTILE.EXC(B4:B23,1)</f>
        <v>1</v>
      </c>
      <c r="C26" s="28">
        <f>_xlfn.QUARTILE.EXC(C4:C23,3)-_xlfn.QUARTILE.EXC(C4:C23,1)</f>
        <v>0.57500000000000018</v>
      </c>
      <c r="E26" s="12" t="s">
        <v>13</v>
      </c>
      <c r="F26" s="28" t="e">
        <f>_xlfn.QUARTILE.EXC(F4:F23,3)-_xlfn.QUARTILE.EXC(F4:F23,1)</f>
        <v>#NUM!</v>
      </c>
      <c r="G26" s="28" t="e">
        <f>_xlfn.QUARTILE.EXC(G4:G23,3)-_xlfn.QUARTILE.EXC(G4:G23,1)</f>
        <v>#NUM!</v>
      </c>
      <c r="I26" s="24"/>
      <c r="J26" s="14" t="s">
        <v>3</v>
      </c>
      <c r="L26" s="30"/>
      <c r="M26" s="30"/>
      <c r="O26" t="s">
        <v>34</v>
      </c>
    </row>
    <row r="27" spans="1:15" x14ac:dyDescent="0.7">
      <c r="I27" s="24"/>
      <c r="J27" s="14" t="s">
        <v>3</v>
      </c>
      <c r="L27" s="30"/>
      <c r="M27" s="30"/>
      <c r="O27" t="s">
        <v>35</v>
      </c>
    </row>
    <row r="28" spans="1:15" x14ac:dyDescent="0.7">
      <c r="I28" s="24"/>
      <c r="J28" s="14" t="s">
        <v>3</v>
      </c>
      <c r="L28" s="30"/>
      <c r="M28" s="30"/>
      <c r="O28" t="s">
        <v>36</v>
      </c>
    </row>
    <row r="29" spans="1:15" x14ac:dyDescent="0.7">
      <c r="I29" s="24"/>
      <c r="J29" s="14" t="s">
        <v>3</v>
      </c>
      <c r="L29" s="30"/>
      <c r="M29" s="30"/>
      <c r="O29" s="23" t="s">
        <v>37</v>
      </c>
    </row>
    <row r="30" spans="1:15" x14ac:dyDescent="0.7">
      <c r="I30" s="24"/>
      <c r="J30" s="14" t="s">
        <v>3</v>
      </c>
      <c r="L30" s="30"/>
      <c r="M30" s="30"/>
      <c r="O30" s="23" t="s">
        <v>38</v>
      </c>
    </row>
    <row r="31" spans="1:15" x14ac:dyDescent="0.7">
      <c r="I31" s="24"/>
      <c r="J31" s="14" t="s">
        <v>3</v>
      </c>
      <c r="L31" s="30"/>
      <c r="M31" s="30"/>
      <c r="O31" t="s">
        <v>39</v>
      </c>
    </row>
    <row r="32" spans="1:15" x14ac:dyDescent="0.7">
      <c r="I32" s="24"/>
      <c r="J32" s="14" t="s">
        <v>3</v>
      </c>
      <c r="L32" s="30"/>
      <c r="M32" s="30"/>
      <c r="O32" t="s">
        <v>40</v>
      </c>
    </row>
    <row r="33" spans="9:13" x14ac:dyDescent="0.7">
      <c r="I33" s="24"/>
      <c r="J33" s="14" t="s">
        <v>3</v>
      </c>
      <c r="L33" s="30"/>
      <c r="M33" s="30"/>
    </row>
    <row r="34" spans="9:13" x14ac:dyDescent="0.7">
      <c r="I34" s="24"/>
      <c r="J34" s="14" t="s">
        <v>3</v>
      </c>
      <c r="L34" s="30"/>
      <c r="M34" s="30"/>
    </row>
    <row r="35" spans="9:13" x14ac:dyDescent="0.7">
      <c r="I35" s="24"/>
      <c r="J35" s="14" t="s">
        <v>3</v>
      </c>
      <c r="L35" s="30"/>
      <c r="M35" s="30"/>
    </row>
    <row r="36" spans="9:13" x14ac:dyDescent="0.7">
      <c r="I36" s="24"/>
      <c r="J36" s="14" t="s">
        <v>3</v>
      </c>
      <c r="L36" s="30"/>
      <c r="M36" s="30"/>
    </row>
    <row r="37" spans="9:13" x14ac:dyDescent="0.7">
      <c r="I37" s="24"/>
      <c r="J37" s="14" t="s">
        <v>3</v>
      </c>
      <c r="L37" s="30"/>
      <c r="M37" s="30"/>
    </row>
    <row r="38" spans="9:13" x14ac:dyDescent="0.7">
      <c r="I38" s="24"/>
      <c r="J38" s="14" t="s">
        <v>3</v>
      </c>
      <c r="L38" s="30"/>
      <c r="M38" s="30"/>
    </row>
    <row r="39" spans="9:13" x14ac:dyDescent="0.7">
      <c r="I39" s="24"/>
      <c r="J39" s="14" t="s">
        <v>3</v>
      </c>
      <c r="L39" s="30"/>
      <c r="M39" s="30"/>
    </row>
    <row r="40" spans="9:13" x14ac:dyDescent="0.7">
      <c r="I40" s="24"/>
      <c r="J40" s="14" t="s">
        <v>3</v>
      </c>
      <c r="L40" s="30"/>
      <c r="M40" s="30"/>
    </row>
    <row r="41" spans="9:13" x14ac:dyDescent="0.7">
      <c r="I41" s="24"/>
      <c r="J41" s="14" t="s">
        <v>3</v>
      </c>
      <c r="L41" s="30"/>
      <c r="M41" s="30"/>
    </row>
    <row r="42" spans="9:13" x14ac:dyDescent="0.7">
      <c r="I42" s="24"/>
      <c r="J42" s="14" t="s">
        <v>3</v>
      </c>
      <c r="L42" s="30"/>
      <c r="M42" s="30"/>
    </row>
    <row r="43" spans="9:13" x14ac:dyDescent="0.7">
      <c r="I43" s="26"/>
      <c r="J43" s="15" t="s">
        <v>3</v>
      </c>
      <c r="K43" s="1"/>
      <c r="L43" s="42"/>
      <c r="M43" s="42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ADAC3-E2C1-4E08-9274-6CFBBB5D1199}">
  <dimension ref="A1:R43"/>
  <sheetViews>
    <sheetView workbookViewId="0">
      <selection activeCell="B25" sqref="B25"/>
    </sheetView>
  </sheetViews>
  <sheetFormatPr defaultRowHeight="17.649999999999999" x14ac:dyDescent="0.7"/>
  <cols>
    <col min="5" max="7" width="9" customWidth="1"/>
    <col min="11" max="12" width="10.3125" customWidth="1"/>
    <col min="15" max="15" width="12.75" customWidth="1"/>
    <col min="16" max="17" width="9" customWidth="1"/>
  </cols>
  <sheetData>
    <row r="1" spans="1:18" x14ac:dyDescent="0.7">
      <c r="A1" s="3" t="s">
        <v>14</v>
      </c>
      <c r="B1" s="6"/>
      <c r="C1" s="8"/>
      <c r="E1" s="3" t="s">
        <v>24</v>
      </c>
      <c r="F1" s="6"/>
      <c r="G1" s="8"/>
      <c r="I1" s="31" t="s">
        <v>6</v>
      </c>
      <c r="J1" s="32"/>
      <c r="K1" s="32"/>
      <c r="L1" s="33"/>
      <c r="M1" s="33"/>
      <c r="O1" s="19" t="s">
        <v>20</v>
      </c>
      <c r="P1" s="20"/>
      <c r="Q1" s="21"/>
      <c r="R1" s="21"/>
    </row>
    <row r="3" spans="1:18" x14ac:dyDescent="0.7">
      <c r="A3" s="5" t="s">
        <v>5</v>
      </c>
      <c r="B3" s="5" t="s">
        <v>15</v>
      </c>
      <c r="C3" s="5" t="s">
        <v>16</v>
      </c>
      <c r="E3" s="5" t="s">
        <v>5</v>
      </c>
      <c r="F3" s="5" t="s">
        <v>15</v>
      </c>
      <c r="G3" s="5" t="s">
        <v>16</v>
      </c>
      <c r="I3" s="4" t="s">
        <v>10</v>
      </c>
      <c r="J3" s="4" t="s">
        <v>9</v>
      </c>
      <c r="K3" s="4" t="s">
        <v>17</v>
      </c>
      <c r="L3" s="4" t="s">
        <v>18</v>
      </c>
      <c r="M3" s="4" t="s">
        <v>19</v>
      </c>
      <c r="O3" s="18" t="s">
        <v>9</v>
      </c>
      <c r="P3" s="18" t="s">
        <v>7</v>
      </c>
      <c r="Q3" s="18" t="s">
        <v>11</v>
      </c>
      <c r="R3" s="18" t="s">
        <v>12</v>
      </c>
    </row>
    <row r="4" spans="1:18" x14ac:dyDescent="0.7">
      <c r="A4">
        <v>1</v>
      </c>
      <c r="B4" s="36">
        <v>4.8</v>
      </c>
      <c r="C4" s="36">
        <v>4.7</v>
      </c>
      <c r="E4">
        <v>1</v>
      </c>
      <c r="F4" s="39" cm="1">
        <f t="array" ref="F4:F23">B4:B23-B25</f>
        <v>-4.9999999999999822E-2</v>
      </c>
      <c r="G4" s="39" cm="1">
        <f t="array" ref="G4:G23">C4:C23-C25</f>
        <v>0.20000000000000018</v>
      </c>
      <c r="H4" s="11"/>
      <c r="I4" s="24" cm="1">
        <f t="array" ref="I4:I43">_xlfn.VSTACK(F4:F23,G4:G23)</f>
        <v>-4.9999999999999822E-2</v>
      </c>
      <c r="J4" s="14" t="s">
        <v>2</v>
      </c>
      <c r="K4" cm="1">
        <f t="array" ref="K4:K43">_xlfn.RANK.AVG(I4:I43,I4:I43,1)</f>
        <v>19</v>
      </c>
      <c r="L4" s="30" cm="1">
        <f t="array" ref="L4:L43">_xlfn.RANK.AVG(I4:I43,I4:I43,0)</f>
        <v>22</v>
      </c>
      <c r="M4" s="30">
        <f>MIN(K4,L4)</f>
        <v>19</v>
      </c>
      <c r="O4" s="16" t="s">
        <v>2</v>
      </c>
      <c r="P4" cm="1">
        <f t="array" ref="P4:P5">SUMIF(J4:J43,O4:O5,M4:M43)</f>
        <v>163</v>
      </c>
      <c r="Q4" cm="1">
        <f t="array" ref="Q4:Q5">COUNTIF(J4:J43,O4:O5)</f>
        <v>20</v>
      </c>
      <c r="R4">
        <f>Q4+Q5</f>
        <v>40</v>
      </c>
    </row>
    <row r="5" spans="1:18" x14ac:dyDescent="0.7">
      <c r="A5">
        <v>2</v>
      </c>
      <c r="B5" s="36">
        <v>5.8</v>
      </c>
      <c r="C5" s="36">
        <v>4.2</v>
      </c>
      <c r="E5">
        <v>2</v>
      </c>
      <c r="F5" s="39">
        <v>0.95000000000000018</v>
      </c>
      <c r="G5" s="39">
        <v>-0.29999999999999982</v>
      </c>
      <c r="H5" s="11"/>
      <c r="I5" s="24">
        <v>0.95000000000000018</v>
      </c>
      <c r="J5" s="14" t="s">
        <v>2</v>
      </c>
      <c r="K5">
        <v>39.5</v>
      </c>
      <c r="L5" s="30">
        <v>1.5</v>
      </c>
      <c r="M5" s="30">
        <f t="shared" ref="M5:M43" si="0">MIN(K5,L5)</f>
        <v>1.5</v>
      </c>
      <c r="O5" s="17" t="s">
        <v>3</v>
      </c>
      <c r="P5" s="1">
        <v>258</v>
      </c>
      <c r="Q5" s="1">
        <v>20</v>
      </c>
      <c r="R5" s="46"/>
    </row>
    <row r="6" spans="1:18" x14ac:dyDescent="0.7">
      <c r="A6">
        <v>3</v>
      </c>
      <c r="B6" s="36">
        <v>5.4</v>
      </c>
      <c r="C6" s="36">
        <v>4.4000000000000004</v>
      </c>
      <c r="E6">
        <v>3</v>
      </c>
      <c r="F6" s="39">
        <v>0.55000000000000071</v>
      </c>
      <c r="G6" s="39">
        <v>-9.9999999999999645E-2</v>
      </c>
      <c r="H6" s="11"/>
      <c r="I6" s="24">
        <v>0.55000000000000071</v>
      </c>
      <c r="J6" s="14" t="s">
        <v>2</v>
      </c>
      <c r="K6">
        <v>33.5</v>
      </c>
      <c r="L6" s="30">
        <v>7.5</v>
      </c>
      <c r="M6" s="30">
        <f t="shared" si="0"/>
        <v>7.5</v>
      </c>
    </row>
    <row r="7" spans="1:18" x14ac:dyDescent="0.7">
      <c r="A7">
        <v>4</v>
      </c>
      <c r="B7" s="36">
        <v>5.2</v>
      </c>
      <c r="C7" s="36">
        <v>4.4000000000000004</v>
      </c>
      <c r="E7">
        <v>4</v>
      </c>
      <c r="F7" s="39">
        <v>0.35000000000000053</v>
      </c>
      <c r="G7" s="39">
        <v>-9.9999999999999645E-2</v>
      </c>
      <c r="H7" s="11"/>
      <c r="I7" s="24">
        <v>0.35000000000000053</v>
      </c>
      <c r="J7" s="14" t="s">
        <v>2</v>
      </c>
      <c r="K7">
        <v>29.5</v>
      </c>
      <c r="L7" s="30">
        <v>11.5</v>
      </c>
      <c r="M7" s="30">
        <f t="shared" si="0"/>
        <v>11.5</v>
      </c>
      <c r="O7" s="18" t="s">
        <v>23</v>
      </c>
      <c r="P7" s="44" cm="1">
        <f t="array" ref="P7">SUM(M4:M43^2)</f>
        <v>5765.5</v>
      </c>
    </row>
    <row r="8" spans="1:18" x14ac:dyDescent="0.7">
      <c r="A8">
        <v>5</v>
      </c>
      <c r="B8" s="36">
        <v>4.4000000000000004</v>
      </c>
      <c r="C8" s="36">
        <v>4.5</v>
      </c>
      <c r="E8">
        <v>5</v>
      </c>
      <c r="F8" s="39">
        <v>-0.44999999999999929</v>
      </c>
      <c r="G8" s="39">
        <v>0</v>
      </c>
      <c r="H8" s="11"/>
      <c r="I8" s="24">
        <v>-0.44999999999999929</v>
      </c>
      <c r="J8" s="14" t="s">
        <v>2</v>
      </c>
      <c r="K8">
        <v>4.5</v>
      </c>
      <c r="L8" s="30">
        <v>36.5</v>
      </c>
      <c r="M8" s="30">
        <f t="shared" si="0"/>
        <v>4.5</v>
      </c>
    </row>
    <row r="9" spans="1:18" x14ac:dyDescent="0.7">
      <c r="A9">
        <v>6</v>
      </c>
      <c r="B9" s="36">
        <v>4.4000000000000004</v>
      </c>
      <c r="C9" s="36">
        <v>4.9000000000000004</v>
      </c>
      <c r="E9">
        <v>6</v>
      </c>
      <c r="F9" s="39">
        <v>-0.44999999999999929</v>
      </c>
      <c r="G9" s="39">
        <v>0.40000000000000036</v>
      </c>
      <c r="H9" s="11"/>
      <c r="I9" s="24">
        <v>-0.44999999999999929</v>
      </c>
      <c r="J9" s="14" t="s">
        <v>2</v>
      </c>
      <c r="K9">
        <v>4.5</v>
      </c>
      <c r="L9" s="30">
        <v>36.5</v>
      </c>
      <c r="M9" s="30">
        <f t="shared" si="0"/>
        <v>4.5</v>
      </c>
      <c r="O9" s="22" t="s">
        <v>21</v>
      </c>
      <c r="P9" s="43">
        <f>Q4*(R4+2)/4</f>
        <v>210</v>
      </c>
    </row>
    <row r="10" spans="1:18" x14ac:dyDescent="0.7">
      <c r="A10">
        <v>7</v>
      </c>
      <c r="B10" s="36">
        <v>4.2</v>
      </c>
      <c r="C10" s="36">
        <v>4.2</v>
      </c>
      <c r="E10">
        <v>7</v>
      </c>
      <c r="F10" s="39">
        <v>-0.64999999999999947</v>
      </c>
      <c r="G10" s="39">
        <v>-0.29999999999999982</v>
      </c>
      <c r="H10" s="11"/>
      <c r="I10" s="24">
        <v>-0.64999999999999947</v>
      </c>
      <c r="J10" s="14" t="s">
        <v>2</v>
      </c>
      <c r="K10">
        <v>2</v>
      </c>
      <c r="L10" s="30">
        <v>39</v>
      </c>
      <c r="M10" s="30">
        <f t="shared" si="0"/>
        <v>2</v>
      </c>
      <c r="O10" s="9" t="s">
        <v>22</v>
      </c>
      <c r="P10" s="2">
        <f>Q4*Q5*(16*P7-R4*(R4+2)^2)/(16*R4*(R4-1))</f>
        <v>347.56410256410254</v>
      </c>
    </row>
    <row r="11" spans="1:18" x14ac:dyDescent="0.7">
      <c r="A11">
        <v>8</v>
      </c>
      <c r="B11" s="36">
        <v>5.7</v>
      </c>
      <c r="C11" s="36">
        <v>4.5999999999999996</v>
      </c>
      <c r="E11">
        <v>8</v>
      </c>
      <c r="F11" s="39">
        <v>0.85000000000000053</v>
      </c>
      <c r="G11" s="39">
        <v>9.9999999999999645E-2</v>
      </c>
      <c r="H11" s="11"/>
      <c r="I11" s="24">
        <v>0.85000000000000053</v>
      </c>
      <c r="J11" s="14" t="s">
        <v>2</v>
      </c>
      <c r="K11">
        <v>38</v>
      </c>
      <c r="L11" s="30">
        <v>3</v>
      </c>
      <c r="M11" s="30">
        <f t="shared" si="0"/>
        <v>3</v>
      </c>
      <c r="O11" s="9" t="s">
        <v>8</v>
      </c>
      <c r="P11" s="2">
        <f>(ABS(P4-P9))/SQRT(P10)</f>
        <v>2.5210438546958853</v>
      </c>
      <c r="Q11" s="35"/>
    </row>
    <row r="12" spans="1:18" x14ac:dyDescent="0.7">
      <c r="A12">
        <v>9</v>
      </c>
      <c r="B12" s="36">
        <v>5.2</v>
      </c>
      <c r="C12" s="37">
        <v>4.7</v>
      </c>
      <c r="E12">
        <v>9</v>
      </c>
      <c r="F12" s="39">
        <v>0.35000000000000053</v>
      </c>
      <c r="G12" s="40">
        <v>0.20000000000000018</v>
      </c>
      <c r="H12" s="11"/>
      <c r="I12" s="24">
        <v>0.35000000000000053</v>
      </c>
      <c r="J12" s="14" t="s">
        <v>2</v>
      </c>
      <c r="K12">
        <v>29.5</v>
      </c>
      <c r="L12" s="30">
        <v>11.5</v>
      </c>
      <c r="M12" s="30">
        <f t="shared" si="0"/>
        <v>11.5</v>
      </c>
      <c r="O12" s="10" t="s">
        <v>0</v>
      </c>
      <c r="P12" s="7">
        <f>1-_xlfn.NORM.S.DIST(P11,TRUE)</f>
        <v>5.8503634223915357E-3</v>
      </c>
    </row>
    <row r="13" spans="1:18" x14ac:dyDescent="0.7">
      <c r="A13">
        <v>10</v>
      </c>
      <c r="B13" s="37">
        <v>5.4</v>
      </c>
      <c r="C13" s="36">
        <v>4.0999999999999996</v>
      </c>
      <c r="E13">
        <v>10</v>
      </c>
      <c r="F13" s="40">
        <v>0.55000000000000071</v>
      </c>
      <c r="G13" s="39">
        <v>-0.40000000000000036</v>
      </c>
      <c r="H13" s="11"/>
      <c r="I13" s="24">
        <v>0.55000000000000071</v>
      </c>
      <c r="J13" s="14" t="s">
        <v>2</v>
      </c>
      <c r="K13">
        <v>33.5</v>
      </c>
      <c r="L13" s="30">
        <v>7.5</v>
      </c>
      <c r="M13" s="30">
        <f t="shared" si="0"/>
        <v>7.5</v>
      </c>
    </row>
    <row r="14" spans="1:18" x14ac:dyDescent="0.7">
      <c r="A14">
        <v>11</v>
      </c>
      <c r="B14" s="36">
        <v>4.0999999999999996</v>
      </c>
      <c r="C14" s="36">
        <v>4.7</v>
      </c>
      <c r="E14">
        <v>11</v>
      </c>
      <c r="F14" s="39">
        <v>-0.75</v>
      </c>
      <c r="G14" s="39">
        <v>0.20000000000000018</v>
      </c>
      <c r="H14" s="11"/>
      <c r="I14" s="24">
        <v>-0.75</v>
      </c>
      <c r="J14" s="14" t="s">
        <v>2</v>
      </c>
      <c r="K14">
        <v>1</v>
      </c>
      <c r="L14" s="30">
        <v>40</v>
      </c>
      <c r="M14" s="30">
        <f t="shared" si="0"/>
        <v>1</v>
      </c>
      <c r="O14" s="45" t="s">
        <v>25</v>
      </c>
    </row>
    <row r="15" spans="1:18" x14ac:dyDescent="0.7">
      <c r="A15">
        <v>12</v>
      </c>
      <c r="B15" s="36">
        <v>5.8</v>
      </c>
      <c r="C15" s="36">
        <v>4.2</v>
      </c>
      <c r="E15">
        <v>12</v>
      </c>
      <c r="F15" s="39">
        <v>0.95000000000000018</v>
      </c>
      <c r="G15" s="39">
        <v>-0.29999999999999982</v>
      </c>
      <c r="H15" s="11"/>
      <c r="I15" s="24">
        <v>0.95000000000000018</v>
      </c>
      <c r="J15" s="14" t="s">
        <v>2</v>
      </c>
      <c r="K15">
        <v>39.5</v>
      </c>
      <c r="L15" s="30">
        <v>1.5</v>
      </c>
      <c r="M15" s="30">
        <f t="shared" si="0"/>
        <v>1.5</v>
      </c>
      <c r="O15" t="s">
        <v>26</v>
      </c>
    </row>
    <row r="16" spans="1:18" x14ac:dyDescent="0.7">
      <c r="A16">
        <v>13</v>
      </c>
      <c r="B16" s="36">
        <v>5.6</v>
      </c>
      <c r="C16" s="36">
        <v>4.0999999999999996</v>
      </c>
      <c r="E16">
        <v>13</v>
      </c>
      <c r="F16" s="39">
        <v>0.75</v>
      </c>
      <c r="G16" s="39">
        <v>-0.40000000000000036</v>
      </c>
      <c r="H16" s="11"/>
      <c r="I16" s="24">
        <v>0.75</v>
      </c>
      <c r="J16" s="14" t="s">
        <v>2</v>
      </c>
      <c r="K16">
        <v>37</v>
      </c>
      <c r="L16" s="30">
        <v>4</v>
      </c>
      <c r="M16" s="30">
        <f t="shared" si="0"/>
        <v>4</v>
      </c>
      <c r="O16" t="s">
        <v>41</v>
      </c>
      <c r="R16" s="34"/>
    </row>
    <row r="17" spans="1:15" x14ac:dyDescent="0.7">
      <c r="A17">
        <v>14</v>
      </c>
      <c r="B17" s="36">
        <v>4.5</v>
      </c>
      <c r="C17" s="36">
        <v>5.0999999999999996</v>
      </c>
      <c r="E17">
        <v>14</v>
      </c>
      <c r="F17" s="39">
        <v>-0.34999999999999964</v>
      </c>
      <c r="G17" s="39">
        <v>0.59999999999999964</v>
      </c>
      <c r="H17" s="11"/>
      <c r="I17" s="24">
        <v>-0.34999999999999964</v>
      </c>
      <c r="J17" s="14" t="s">
        <v>2</v>
      </c>
      <c r="K17">
        <v>10</v>
      </c>
      <c r="L17" s="30">
        <v>31</v>
      </c>
      <c r="M17" s="30">
        <f t="shared" si="0"/>
        <v>10</v>
      </c>
      <c r="O17" t="s">
        <v>27</v>
      </c>
    </row>
    <row r="18" spans="1:15" x14ac:dyDescent="0.7">
      <c r="A18">
        <v>15</v>
      </c>
      <c r="B18" s="36">
        <v>4.4000000000000004</v>
      </c>
      <c r="C18" s="36">
        <v>5.2</v>
      </c>
      <c r="E18">
        <v>15</v>
      </c>
      <c r="F18" s="39">
        <v>-0.44999999999999929</v>
      </c>
      <c r="G18" s="39">
        <v>0.70000000000000018</v>
      </c>
      <c r="H18" s="11"/>
      <c r="I18" s="24">
        <v>-0.44999999999999929</v>
      </c>
      <c r="J18" s="14" t="s">
        <v>2</v>
      </c>
      <c r="K18">
        <v>4.5</v>
      </c>
      <c r="L18" s="30">
        <v>36.5</v>
      </c>
      <c r="M18" s="30">
        <f t="shared" si="0"/>
        <v>4.5</v>
      </c>
      <c r="O18" t="s">
        <v>28</v>
      </c>
    </row>
    <row r="19" spans="1:15" x14ac:dyDescent="0.7">
      <c r="A19">
        <v>16</v>
      </c>
      <c r="B19" s="36">
        <v>4.4000000000000004</v>
      </c>
      <c r="C19" s="36">
        <v>5</v>
      </c>
      <c r="E19">
        <v>16</v>
      </c>
      <c r="F19" s="39">
        <v>-0.44999999999999929</v>
      </c>
      <c r="G19" s="39">
        <v>0.5</v>
      </c>
      <c r="H19" s="11"/>
      <c r="I19" s="24">
        <v>-0.44999999999999929</v>
      </c>
      <c r="J19" s="14" t="s">
        <v>2</v>
      </c>
      <c r="K19">
        <v>4.5</v>
      </c>
      <c r="L19" s="30">
        <v>36.5</v>
      </c>
      <c r="M19" s="30">
        <f t="shared" si="0"/>
        <v>4.5</v>
      </c>
      <c r="O19" t="s">
        <v>29</v>
      </c>
    </row>
    <row r="20" spans="1:15" x14ac:dyDescent="0.7">
      <c r="A20">
        <v>17</v>
      </c>
      <c r="B20" s="36">
        <v>4.5999999999999996</v>
      </c>
      <c r="C20" s="36">
        <v>4.4000000000000004</v>
      </c>
      <c r="E20">
        <v>17</v>
      </c>
      <c r="F20" s="39">
        <v>-0.25</v>
      </c>
      <c r="G20" s="39">
        <v>-9.9999999999999645E-2</v>
      </c>
      <c r="H20" s="11"/>
      <c r="I20" s="24">
        <v>-0.25</v>
      </c>
      <c r="J20" s="14" t="s">
        <v>2</v>
      </c>
      <c r="K20">
        <v>14.5</v>
      </c>
      <c r="L20" s="30">
        <v>26.5</v>
      </c>
      <c r="M20" s="30">
        <f t="shared" si="0"/>
        <v>14.5</v>
      </c>
      <c r="O20" t="s">
        <v>54</v>
      </c>
    </row>
    <row r="21" spans="1:15" x14ac:dyDescent="0.7">
      <c r="A21">
        <v>18</v>
      </c>
      <c r="B21" s="36">
        <v>5</v>
      </c>
      <c r="C21" s="36">
        <v>4.0999999999999996</v>
      </c>
      <c r="E21">
        <v>18</v>
      </c>
      <c r="F21" s="39">
        <v>0.15000000000000036</v>
      </c>
      <c r="G21" s="39">
        <v>-0.40000000000000036</v>
      </c>
      <c r="H21" s="11"/>
      <c r="I21" s="24">
        <v>0.15000000000000036</v>
      </c>
      <c r="J21" s="14" t="s">
        <v>2</v>
      </c>
      <c r="K21">
        <v>24</v>
      </c>
      <c r="L21" s="30">
        <v>17</v>
      </c>
      <c r="M21" s="30">
        <f t="shared" si="0"/>
        <v>17</v>
      </c>
      <c r="O21" t="s">
        <v>30</v>
      </c>
    </row>
    <row r="22" spans="1:15" x14ac:dyDescent="0.7">
      <c r="A22">
        <v>19</v>
      </c>
      <c r="B22" s="36">
        <v>4.9000000000000004</v>
      </c>
      <c r="C22" s="36">
        <v>4.8</v>
      </c>
      <c r="E22">
        <v>19</v>
      </c>
      <c r="F22" s="39">
        <v>5.0000000000000711E-2</v>
      </c>
      <c r="G22" s="39">
        <v>0.29999999999999982</v>
      </c>
      <c r="H22" s="11"/>
      <c r="I22" s="24">
        <v>5.0000000000000711E-2</v>
      </c>
      <c r="J22" s="14" t="s">
        <v>2</v>
      </c>
      <c r="K22">
        <v>22</v>
      </c>
      <c r="L22" s="30">
        <v>19</v>
      </c>
      <c r="M22" s="30">
        <f t="shared" si="0"/>
        <v>19</v>
      </c>
      <c r="O22" t="s">
        <v>31</v>
      </c>
    </row>
    <row r="23" spans="1:15" x14ac:dyDescent="0.7">
      <c r="A23" s="1">
        <v>20</v>
      </c>
      <c r="B23" s="38">
        <v>4.5999999999999996</v>
      </c>
      <c r="C23" s="38">
        <v>4.5</v>
      </c>
      <c r="E23" s="1">
        <v>20</v>
      </c>
      <c r="F23" s="41">
        <v>-0.25</v>
      </c>
      <c r="G23" s="41">
        <v>0</v>
      </c>
      <c r="H23" s="11"/>
      <c r="I23" s="24">
        <v>-0.25</v>
      </c>
      <c r="J23" s="14" t="s">
        <v>2</v>
      </c>
      <c r="K23">
        <v>14.5</v>
      </c>
      <c r="L23" s="30">
        <v>26.5</v>
      </c>
      <c r="M23" s="30">
        <f t="shared" si="0"/>
        <v>14.5</v>
      </c>
      <c r="O23" t="s">
        <v>53</v>
      </c>
    </row>
    <row r="24" spans="1:15" x14ac:dyDescent="0.7">
      <c r="A24" s="13" t="s">
        <v>1</v>
      </c>
      <c r="B24" s="27">
        <f>AVERAGE(B4:B23)</f>
        <v>4.92</v>
      </c>
      <c r="C24" s="27">
        <f>AVERAGE(C4:C23)</f>
        <v>4.5400000000000009</v>
      </c>
      <c r="E24" s="13" t="s">
        <v>1</v>
      </c>
      <c r="F24" s="27">
        <f>AVERAGE(F4:F23)</f>
        <v>7.0000000000000423E-2</v>
      </c>
      <c r="G24" s="27">
        <f>AVERAGE(G4:G23)</f>
        <v>4.0000000000000036E-2</v>
      </c>
      <c r="I24" s="24">
        <v>0.20000000000000018</v>
      </c>
      <c r="J24" s="14" t="s">
        <v>3</v>
      </c>
      <c r="K24">
        <v>26</v>
      </c>
      <c r="L24" s="30">
        <v>15</v>
      </c>
      <c r="M24" s="30">
        <f t="shared" si="0"/>
        <v>15</v>
      </c>
      <c r="O24" t="s">
        <v>32</v>
      </c>
    </row>
    <row r="25" spans="1:15" x14ac:dyDescent="0.7">
      <c r="A25" s="13" t="s">
        <v>4</v>
      </c>
      <c r="B25" s="29">
        <f>MEDIAN(B4:B23)</f>
        <v>4.8499999999999996</v>
      </c>
      <c r="C25" s="29">
        <f>MEDIAN(C4:C23)</f>
        <v>4.5</v>
      </c>
      <c r="E25" s="13" t="s">
        <v>4</v>
      </c>
      <c r="F25" s="29">
        <f>MEDIAN(F4:F23)</f>
        <v>4.4408920985006262E-16</v>
      </c>
      <c r="G25" s="29">
        <f>MEDIAN(G4:G23)</f>
        <v>0</v>
      </c>
      <c r="I25" s="24">
        <v>-0.29999999999999982</v>
      </c>
      <c r="J25" s="14" t="s">
        <v>3</v>
      </c>
      <c r="K25">
        <v>12</v>
      </c>
      <c r="L25" s="30">
        <v>29</v>
      </c>
      <c r="M25" s="30">
        <f t="shared" si="0"/>
        <v>12</v>
      </c>
      <c r="O25" t="s">
        <v>33</v>
      </c>
    </row>
    <row r="26" spans="1:15" x14ac:dyDescent="0.7">
      <c r="A26" s="12" t="s">
        <v>13</v>
      </c>
      <c r="B26" s="28">
        <f>_xlfn.QUARTILE.EXC(B4:B23,3)-_xlfn.QUARTILE.EXC(B4:B23,1)</f>
        <v>1</v>
      </c>
      <c r="C26" s="28">
        <f>_xlfn.QUARTILE.EXC(C4:C23,3)-_xlfn.QUARTILE.EXC(C4:C23,1)</f>
        <v>0.57500000000000018</v>
      </c>
      <c r="E26" s="12" t="s">
        <v>13</v>
      </c>
      <c r="F26" s="28">
        <f>_xlfn.QUARTILE.EXC(F4:F23,3)-_xlfn.QUARTILE.EXC(F4:F23,1)</f>
        <v>1</v>
      </c>
      <c r="G26" s="28">
        <f>_xlfn.QUARTILE.EXC(G4:G23,3)-_xlfn.QUARTILE.EXC(G4:G23,1)</f>
        <v>0.57499999999999973</v>
      </c>
      <c r="I26" s="24">
        <v>-9.9999999999999645E-2</v>
      </c>
      <c r="J26" s="14" t="s">
        <v>3</v>
      </c>
      <c r="K26">
        <v>17</v>
      </c>
      <c r="L26" s="30">
        <v>24</v>
      </c>
      <c r="M26" s="30">
        <f t="shared" si="0"/>
        <v>17</v>
      </c>
      <c r="O26" t="s">
        <v>34</v>
      </c>
    </row>
    <row r="27" spans="1:15" x14ac:dyDescent="0.7">
      <c r="I27" s="24">
        <v>-9.9999999999999645E-2</v>
      </c>
      <c r="J27" s="14" t="s">
        <v>3</v>
      </c>
      <c r="K27">
        <v>17</v>
      </c>
      <c r="L27" s="30">
        <v>24</v>
      </c>
      <c r="M27" s="30">
        <f t="shared" si="0"/>
        <v>17</v>
      </c>
      <c r="O27" t="s">
        <v>35</v>
      </c>
    </row>
    <row r="28" spans="1:15" x14ac:dyDescent="0.7">
      <c r="I28" s="24">
        <v>0</v>
      </c>
      <c r="J28" s="14" t="s">
        <v>3</v>
      </c>
      <c r="K28">
        <v>20.5</v>
      </c>
      <c r="L28" s="30">
        <v>20.5</v>
      </c>
      <c r="M28" s="30">
        <f t="shared" si="0"/>
        <v>20.5</v>
      </c>
      <c r="O28" t="s">
        <v>36</v>
      </c>
    </row>
    <row r="29" spans="1:15" x14ac:dyDescent="0.7">
      <c r="I29" s="24">
        <v>0.40000000000000036</v>
      </c>
      <c r="J29" s="14" t="s">
        <v>3</v>
      </c>
      <c r="K29">
        <v>31</v>
      </c>
      <c r="L29" s="30">
        <v>10</v>
      </c>
      <c r="M29" s="30">
        <f t="shared" si="0"/>
        <v>10</v>
      </c>
      <c r="O29" s="23" t="s">
        <v>37</v>
      </c>
    </row>
    <row r="30" spans="1:15" x14ac:dyDescent="0.7">
      <c r="I30" s="24">
        <v>-0.29999999999999982</v>
      </c>
      <c r="J30" s="14" t="s">
        <v>3</v>
      </c>
      <c r="K30">
        <v>12</v>
      </c>
      <c r="L30" s="30">
        <v>29</v>
      </c>
      <c r="M30" s="30">
        <f t="shared" si="0"/>
        <v>12</v>
      </c>
      <c r="O30" s="23" t="s">
        <v>38</v>
      </c>
    </row>
    <row r="31" spans="1:15" x14ac:dyDescent="0.7">
      <c r="I31" s="24">
        <v>9.9999999999999645E-2</v>
      </c>
      <c r="J31" s="14" t="s">
        <v>3</v>
      </c>
      <c r="K31">
        <v>23</v>
      </c>
      <c r="L31" s="30">
        <v>18</v>
      </c>
      <c r="M31" s="30">
        <f t="shared" si="0"/>
        <v>18</v>
      </c>
      <c r="O31" t="s">
        <v>39</v>
      </c>
    </row>
    <row r="32" spans="1:15" x14ac:dyDescent="0.7">
      <c r="I32" s="24">
        <v>0.20000000000000018</v>
      </c>
      <c r="J32" s="14" t="s">
        <v>3</v>
      </c>
      <c r="K32">
        <v>26</v>
      </c>
      <c r="L32" s="30">
        <v>15</v>
      </c>
      <c r="M32" s="30">
        <f t="shared" si="0"/>
        <v>15</v>
      </c>
      <c r="O32" t="s">
        <v>40</v>
      </c>
    </row>
    <row r="33" spans="9:13" x14ac:dyDescent="0.7">
      <c r="I33" s="24">
        <v>-0.40000000000000036</v>
      </c>
      <c r="J33" s="14" t="s">
        <v>3</v>
      </c>
      <c r="K33">
        <v>8</v>
      </c>
      <c r="L33" s="30">
        <v>33</v>
      </c>
      <c r="M33" s="30">
        <f t="shared" si="0"/>
        <v>8</v>
      </c>
    </row>
    <row r="34" spans="9:13" x14ac:dyDescent="0.7">
      <c r="I34" s="24">
        <v>0.20000000000000018</v>
      </c>
      <c r="J34" s="14" t="s">
        <v>3</v>
      </c>
      <c r="K34">
        <v>26</v>
      </c>
      <c r="L34" s="30">
        <v>15</v>
      </c>
      <c r="M34" s="30">
        <f t="shared" si="0"/>
        <v>15</v>
      </c>
    </row>
    <row r="35" spans="9:13" x14ac:dyDescent="0.7">
      <c r="I35" s="24">
        <v>-0.29999999999999982</v>
      </c>
      <c r="J35" s="14" t="s">
        <v>3</v>
      </c>
      <c r="K35">
        <v>12</v>
      </c>
      <c r="L35" s="30">
        <v>29</v>
      </c>
      <c r="M35" s="30">
        <f t="shared" si="0"/>
        <v>12</v>
      </c>
    </row>
    <row r="36" spans="9:13" x14ac:dyDescent="0.7">
      <c r="I36" s="24">
        <v>-0.40000000000000036</v>
      </c>
      <c r="J36" s="14" t="s">
        <v>3</v>
      </c>
      <c r="K36">
        <v>8</v>
      </c>
      <c r="L36" s="30">
        <v>33</v>
      </c>
      <c r="M36" s="30">
        <f t="shared" si="0"/>
        <v>8</v>
      </c>
    </row>
    <row r="37" spans="9:13" x14ac:dyDescent="0.7">
      <c r="I37" s="24">
        <v>0.59999999999999964</v>
      </c>
      <c r="J37" s="14" t="s">
        <v>3</v>
      </c>
      <c r="K37">
        <v>35</v>
      </c>
      <c r="L37" s="30">
        <v>6</v>
      </c>
      <c r="M37" s="30">
        <f t="shared" si="0"/>
        <v>6</v>
      </c>
    </row>
    <row r="38" spans="9:13" x14ac:dyDescent="0.7">
      <c r="I38" s="24">
        <v>0.70000000000000018</v>
      </c>
      <c r="J38" s="14" t="s">
        <v>3</v>
      </c>
      <c r="K38">
        <v>36</v>
      </c>
      <c r="L38" s="30">
        <v>5</v>
      </c>
      <c r="M38" s="30">
        <f t="shared" si="0"/>
        <v>5</v>
      </c>
    </row>
    <row r="39" spans="9:13" x14ac:dyDescent="0.7">
      <c r="I39" s="24">
        <v>0.5</v>
      </c>
      <c r="J39" s="14" t="s">
        <v>3</v>
      </c>
      <c r="K39">
        <v>32</v>
      </c>
      <c r="L39" s="30">
        <v>9</v>
      </c>
      <c r="M39" s="30">
        <f t="shared" si="0"/>
        <v>9</v>
      </c>
    </row>
    <row r="40" spans="9:13" x14ac:dyDescent="0.7">
      <c r="I40" s="24">
        <v>-9.9999999999999645E-2</v>
      </c>
      <c r="J40" s="14" t="s">
        <v>3</v>
      </c>
      <c r="K40">
        <v>17</v>
      </c>
      <c r="L40" s="30">
        <v>24</v>
      </c>
      <c r="M40" s="30">
        <f t="shared" si="0"/>
        <v>17</v>
      </c>
    </row>
    <row r="41" spans="9:13" x14ac:dyDescent="0.7">
      <c r="I41" s="24">
        <v>-0.40000000000000036</v>
      </c>
      <c r="J41" s="14" t="s">
        <v>3</v>
      </c>
      <c r="K41">
        <v>8</v>
      </c>
      <c r="L41" s="30">
        <v>33</v>
      </c>
      <c r="M41" s="30">
        <f t="shared" si="0"/>
        <v>8</v>
      </c>
    </row>
    <row r="42" spans="9:13" x14ac:dyDescent="0.7">
      <c r="I42" s="24">
        <v>0.29999999999999982</v>
      </c>
      <c r="J42" s="14" t="s">
        <v>3</v>
      </c>
      <c r="K42">
        <v>28</v>
      </c>
      <c r="L42" s="30">
        <v>13</v>
      </c>
      <c r="M42" s="30">
        <f t="shared" si="0"/>
        <v>13</v>
      </c>
    </row>
    <row r="43" spans="9:13" x14ac:dyDescent="0.7">
      <c r="I43" s="26">
        <v>0</v>
      </c>
      <c r="J43" s="15" t="s">
        <v>3</v>
      </c>
      <c r="K43" s="1">
        <v>20.5</v>
      </c>
      <c r="L43" s="42">
        <v>20.5</v>
      </c>
      <c r="M43" s="42">
        <f t="shared" si="0"/>
        <v>20.5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E7F98-B0E6-4F3E-A1D8-AE0DA1FF8E7D}">
  <dimension ref="A1:R43"/>
  <sheetViews>
    <sheetView workbookViewId="0">
      <selection activeCell="B25" sqref="B25"/>
    </sheetView>
  </sheetViews>
  <sheetFormatPr defaultRowHeight="17.649999999999999" x14ac:dyDescent="0.7"/>
  <cols>
    <col min="5" max="7" width="9" customWidth="1"/>
    <col min="11" max="12" width="10.3125" customWidth="1"/>
    <col min="15" max="15" width="12.75" customWidth="1"/>
    <col min="16" max="18" width="9" customWidth="1"/>
  </cols>
  <sheetData>
    <row r="1" spans="1:18" x14ac:dyDescent="0.7">
      <c r="A1" s="3" t="s">
        <v>14</v>
      </c>
      <c r="B1" s="6"/>
      <c r="C1" s="8"/>
      <c r="E1" s="3" t="s">
        <v>24</v>
      </c>
      <c r="F1" s="6"/>
      <c r="G1" s="8"/>
      <c r="I1" s="31" t="s">
        <v>6</v>
      </c>
      <c r="J1" s="32"/>
      <c r="K1" s="32"/>
      <c r="L1" s="33"/>
      <c r="M1" s="33"/>
      <c r="O1" s="19" t="s">
        <v>20</v>
      </c>
      <c r="P1" s="20"/>
      <c r="Q1" s="21"/>
      <c r="R1" s="21"/>
    </row>
    <row r="3" spans="1:18" x14ac:dyDescent="0.7">
      <c r="A3" s="5" t="s">
        <v>5</v>
      </c>
      <c r="B3" s="5" t="s">
        <v>15</v>
      </c>
      <c r="C3" s="5" t="s">
        <v>16</v>
      </c>
      <c r="E3" s="5" t="s">
        <v>5</v>
      </c>
      <c r="F3" s="5" t="s">
        <v>15</v>
      </c>
      <c r="G3" s="5" t="s">
        <v>16</v>
      </c>
      <c r="I3" s="4" t="s">
        <v>10</v>
      </c>
      <c r="J3" s="4" t="s">
        <v>9</v>
      </c>
      <c r="K3" s="4" t="s">
        <v>17</v>
      </c>
      <c r="L3" s="4" t="s">
        <v>18</v>
      </c>
      <c r="M3" s="4" t="s">
        <v>19</v>
      </c>
      <c r="O3" s="18" t="s">
        <v>9</v>
      </c>
      <c r="P3" s="18" t="s">
        <v>7</v>
      </c>
      <c r="Q3" s="18" t="s">
        <v>11</v>
      </c>
      <c r="R3" s="18" t="s">
        <v>12</v>
      </c>
    </row>
    <row r="4" spans="1:18" x14ac:dyDescent="0.7">
      <c r="A4">
        <v>1</v>
      </c>
      <c r="B4" s="24">
        <v>4.8</v>
      </c>
      <c r="C4" s="24">
        <v>4.7</v>
      </c>
      <c r="E4">
        <v>1</v>
      </c>
      <c r="F4" s="39"/>
      <c r="G4" s="39"/>
      <c r="H4" s="11"/>
      <c r="I4" s="24"/>
      <c r="J4" s="14" t="s">
        <v>2</v>
      </c>
      <c r="L4" s="30"/>
      <c r="M4" s="30"/>
      <c r="O4" s="16" t="s">
        <v>2</v>
      </c>
    </row>
    <row r="5" spans="1:18" x14ac:dyDescent="0.7">
      <c r="A5">
        <v>2</v>
      </c>
      <c r="B5" s="24">
        <v>5.8</v>
      </c>
      <c r="C5" s="24">
        <v>4.2</v>
      </c>
      <c r="E5">
        <v>2</v>
      </c>
      <c r="F5" s="39"/>
      <c r="G5" s="39"/>
      <c r="H5" s="11"/>
      <c r="I5" s="24"/>
      <c r="J5" s="14" t="s">
        <v>2</v>
      </c>
      <c r="L5" s="30"/>
      <c r="M5" s="30"/>
      <c r="O5" s="17" t="s">
        <v>3</v>
      </c>
      <c r="P5" s="1"/>
      <c r="Q5" s="1"/>
      <c r="R5" s="46"/>
    </row>
    <row r="6" spans="1:18" x14ac:dyDescent="0.7">
      <c r="A6">
        <v>3</v>
      </c>
      <c r="B6" s="24">
        <v>5.4</v>
      </c>
      <c r="C6" s="24">
        <v>4.4000000000000004</v>
      </c>
      <c r="E6">
        <v>3</v>
      </c>
      <c r="F6" s="39"/>
      <c r="G6" s="39"/>
      <c r="H6" s="11"/>
      <c r="I6" s="24"/>
      <c r="J6" s="14" t="s">
        <v>2</v>
      </c>
      <c r="L6" s="30"/>
      <c r="M6" s="30"/>
    </row>
    <row r="7" spans="1:18" x14ac:dyDescent="0.7">
      <c r="A7">
        <v>4</v>
      </c>
      <c r="B7" s="24">
        <v>5.2</v>
      </c>
      <c r="C7" s="24">
        <v>4.4000000000000004</v>
      </c>
      <c r="E7">
        <v>4</v>
      </c>
      <c r="F7" s="39"/>
      <c r="G7" s="39"/>
      <c r="H7" s="11"/>
      <c r="I7" s="24"/>
      <c r="J7" s="14" t="s">
        <v>2</v>
      </c>
      <c r="L7" s="30"/>
      <c r="M7" s="30"/>
      <c r="O7" s="18" t="s">
        <v>23</v>
      </c>
      <c r="P7" s="44"/>
    </row>
    <row r="8" spans="1:18" x14ac:dyDescent="0.7">
      <c r="A8">
        <v>5</v>
      </c>
      <c r="B8" s="24">
        <v>4.4000000000000004</v>
      </c>
      <c r="C8" s="24">
        <v>4.5</v>
      </c>
      <c r="E8">
        <v>5</v>
      </c>
      <c r="F8" s="39"/>
      <c r="G8" s="39"/>
      <c r="H8" s="11"/>
      <c r="I8" s="24"/>
      <c r="J8" s="14" t="s">
        <v>2</v>
      </c>
      <c r="L8" s="30"/>
      <c r="M8" s="30"/>
    </row>
    <row r="9" spans="1:18" x14ac:dyDescent="0.7">
      <c r="A9">
        <v>6</v>
      </c>
      <c r="B9" s="24">
        <v>4.4000000000000004</v>
      </c>
      <c r="C9" s="24">
        <v>4.9000000000000004</v>
      </c>
      <c r="E9">
        <v>6</v>
      </c>
      <c r="F9" s="39"/>
      <c r="G9" s="39"/>
      <c r="H9" s="11"/>
      <c r="I9" s="24"/>
      <c r="J9" s="14" t="s">
        <v>2</v>
      </c>
      <c r="L9" s="30"/>
      <c r="M9" s="30"/>
      <c r="O9" s="22" t="s">
        <v>21</v>
      </c>
      <c r="P9" s="43"/>
    </row>
    <row r="10" spans="1:18" x14ac:dyDescent="0.7">
      <c r="A10">
        <v>7</v>
      </c>
      <c r="B10" s="24">
        <v>4.2</v>
      </c>
      <c r="C10" s="24">
        <v>4.2</v>
      </c>
      <c r="E10">
        <v>7</v>
      </c>
      <c r="F10" s="39"/>
      <c r="G10" s="39"/>
      <c r="H10" s="11"/>
      <c r="I10" s="24"/>
      <c r="J10" s="14" t="s">
        <v>2</v>
      </c>
      <c r="L10" s="30"/>
      <c r="M10" s="30"/>
      <c r="O10" s="9" t="s">
        <v>22</v>
      </c>
      <c r="P10" s="2"/>
    </row>
    <row r="11" spans="1:18" x14ac:dyDescent="0.7">
      <c r="A11">
        <v>8</v>
      </c>
      <c r="B11" s="24">
        <v>5.7</v>
      </c>
      <c r="C11" s="24">
        <v>4.5999999999999996</v>
      </c>
      <c r="E11">
        <v>8</v>
      </c>
      <c r="F11" s="39"/>
      <c r="G11" s="39"/>
      <c r="H11" s="11"/>
      <c r="I11" s="24"/>
      <c r="J11" s="14" t="s">
        <v>2</v>
      </c>
      <c r="L11" s="30"/>
      <c r="M11" s="30"/>
      <c r="O11" s="9" t="s">
        <v>8</v>
      </c>
      <c r="P11" s="2"/>
      <c r="Q11" s="35"/>
    </row>
    <row r="12" spans="1:18" x14ac:dyDescent="0.7">
      <c r="A12">
        <v>9</v>
      </c>
      <c r="B12" s="24">
        <v>5.2</v>
      </c>
      <c r="C12" s="25">
        <v>4.7</v>
      </c>
      <c r="E12">
        <v>9</v>
      </c>
      <c r="F12" s="39"/>
      <c r="G12" s="40"/>
      <c r="H12" s="11"/>
      <c r="I12" s="24"/>
      <c r="J12" s="14" t="s">
        <v>2</v>
      </c>
      <c r="L12" s="30"/>
      <c r="M12" s="30"/>
      <c r="O12" s="10" t="s">
        <v>0</v>
      </c>
      <c r="P12" s="7"/>
    </row>
    <row r="13" spans="1:18" x14ac:dyDescent="0.7">
      <c r="A13">
        <v>10</v>
      </c>
      <c r="B13" s="25">
        <v>5.4</v>
      </c>
      <c r="C13" s="24">
        <v>4.0999999999999996</v>
      </c>
      <c r="E13">
        <v>10</v>
      </c>
      <c r="F13" s="40"/>
      <c r="G13" s="39"/>
      <c r="H13" s="11"/>
      <c r="I13" s="24"/>
      <c r="J13" s="14" t="s">
        <v>2</v>
      </c>
      <c r="L13" s="30"/>
      <c r="M13" s="30"/>
    </row>
    <row r="14" spans="1:18" x14ac:dyDescent="0.7">
      <c r="A14">
        <v>11</v>
      </c>
      <c r="B14" s="24">
        <v>4.0999999999999996</v>
      </c>
      <c r="C14" s="24">
        <v>4.7</v>
      </c>
      <c r="E14">
        <v>11</v>
      </c>
      <c r="F14" s="39"/>
      <c r="G14" s="39"/>
      <c r="H14" s="11"/>
      <c r="I14" s="24"/>
      <c r="J14" s="14" t="s">
        <v>2</v>
      </c>
      <c r="L14" s="30"/>
      <c r="M14" s="30"/>
      <c r="O14" s="45" t="s">
        <v>25</v>
      </c>
    </row>
    <row r="15" spans="1:18" x14ac:dyDescent="0.7">
      <c r="A15">
        <v>12</v>
      </c>
      <c r="B15" s="24">
        <v>5.8</v>
      </c>
      <c r="C15" s="24">
        <v>4.2</v>
      </c>
      <c r="E15">
        <v>12</v>
      </c>
      <c r="F15" s="39"/>
      <c r="G15" s="39"/>
      <c r="H15" s="11"/>
      <c r="I15" s="24"/>
      <c r="J15" s="14" t="s">
        <v>2</v>
      </c>
      <c r="L15" s="30"/>
      <c r="M15" s="30"/>
      <c r="O15" t="s">
        <v>26</v>
      </c>
    </row>
    <row r="16" spans="1:18" x14ac:dyDescent="0.7">
      <c r="A16">
        <v>13</v>
      </c>
      <c r="B16" s="24">
        <v>5.6</v>
      </c>
      <c r="C16" s="24">
        <v>4.0999999999999996</v>
      </c>
      <c r="E16">
        <v>13</v>
      </c>
      <c r="F16" s="39"/>
      <c r="G16" s="39"/>
      <c r="H16" s="11"/>
      <c r="I16" s="24"/>
      <c r="J16" s="14" t="s">
        <v>2</v>
      </c>
      <c r="L16" s="30"/>
      <c r="M16" s="30"/>
      <c r="O16" t="s">
        <v>42</v>
      </c>
      <c r="R16" s="34"/>
    </row>
    <row r="17" spans="1:15" x14ac:dyDescent="0.7">
      <c r="A17">
        <v>14</v>
      </c>
      <c r="B17" s="24">
        <v>4.5</v>
      </c>
      <c r="C17" s="24">
        <v>5.0999999999999996</v>
      </c>
      <c r="E17">
        <v>14</v>
      </c>
      <c r="F17" s="39"/>
      <c r="G17" s="39"/>
      <c r="H17" s="11"/>
      <c r="I17" s="24"/>
      <c r="J17" s="14" t="s">
        <v>2</v>
      </c>
      <c r="L17" s="30"/>
      <c r="M17" s="30"/>
      <c r="O17" t="s">
        <v>27</v>
      </c>
    </row>
    <row r="18" spans="1:15" x14ac:dyDescent="0.7">
      <c r="A18">
        <v>15</v>
      </c>
      <c r="B18" s="24">
        <v>4.4000000000000004</v>
      </c>
      <c r="C18" s="24">
        <v>5.2</v>
      </c>
      <c r="E18">
        <v>15</v>
      </c>
      <c r="F18" s="39"/>
      <c r="G18" s="39"/>
      <c r="H18" s="11"/>
      <c r="I18" s="24"/>
      <c r="J18" s="14" t="s">
        <v>2</v>
      </c>
      <c r="L18" s="30"/>
      <c r="M18" s="30"/>
      <c r="O18" t="s">
        <v>43</v>
      </c>
    </row>
    <row r="19" spans="1:15" x14ac:dyDescent="0.7">
      <c r="A19">
        <v>16</v>
      </c>
      <c r="B19" s="24">
        <v>4.4000000000000004</v>
      </c>
      <c r="C19" s="24">
        <v>5</v>
      </c>
      <c r="E19">
        <v>16</v>
      </c>
      <c r="F19" s="39"/>
      <c r="G19" s="39"/>
      <c r="H19" s="11"/>
      <c r="I19" s="24"/>
      <c r="J19" s="14" t="s">
        <v>2</v>
      </c>
      <c r="L19" s="30"/>
      <c r="M19" s="30"/>
      <c r="O19" t="s">
        <v>44</v>
      </c>
    </row>
    <row r="20" spans="1:15" x14ac:dyDescent="0.7">
      <c r="A20">
        <v>17</v>
      </c>
      <c r="B20" s="24">
        <v>4.5999999999999996</v>
      </c>
      <c r="C20" s="24">
        <v>4.4000000000000004</v>
      </c>
      <c r="E20">
        <v>17</v>
      </c>
      <c r="F20" s="39"/>
      <c r="G20" s="39"/>
      <c r="H20" s="11"/>
      <c r="I20" s="24"/>
      <c r="J20" s="14" t="s">
        <v>2</v>
      </c>
      <c r="L20" s="30"/>
      <c r="M20" s="30"/>
      <c r="O20" t="s">
        <v>54</v>
      </c>
    </row>
    <row r="21" spans="1:15" x14ac:dyDescent="0.7">
      <c r="A21">
        <v>18</v>
      </c>
      <c r="B21" s="24">
        <v>5</v>
      </c>
      <c r="C21" s="24">
        <v>4.0999999999999996</v>
      </c>
      <c r="E21">
        <v>18</v>
      </c>
      <c r="F21" s="39"/>
      <c r="G21" s="39"/>
      <c r="H21" s="11"/>
      <c r="I21" s="24"/>
      <c r="J21" s="14" t="s">
        <v>2</v>
      </c>
      <c r="L21" s="30"/>
      <c r="M21" s="30"/>
      <c r="O21" t="s">
        <v>45</v>
      </c>
    </row>
    <row r="22" spans="1:15" x14ac:dyDescent="0.7">
      <c r="A22">
        <v>19</v>
      </c>
      <c r="B22" s="24">
        <v>4.9000000000000004</v>
      </c>
      <c r="C22" s="24">
        <v>4.8</v>
      </c>
      <c r="E22">
        <v>19</v>
      </c>
      <c r="F22" s="39"/>
      <c r="G22" s="39"/>
      <c r="H22" s="11"/>
      <c r="I22" s="24"/>
      <c r="J22" s="14" t="s">
        <v>2</v>
      </c>
      <c r="L22" s="30"/>
      <c r="M22" s="30"/>
      <c r="O22" t="s">
        <v>46</v>
      </c>
    </row>
    <row r="23" spans="1:15" x14ac:dyDescent="0.7">
      <c r="A23" s="1">
        <v>20</v>
      </c>
      <c r="B23" s="26">
        <v>4.5999999999999996</v>
      </c>
      <c r="C23" s="26"/>
      <c r="E23" s="1">
        <v>20</v>
      </c>
      <c r="F23" s="41"/>
      <c r="G23" s="41"/>
      <c r="H23" s="11"/>
      <c r="I23" s="24"/>
      <c r="J23" s="14" t="s">
        <v>2</v>
      </c>
      <c r="L23" s="30"/>
      <c r="M23" s="30"/>
      <c r="O23" t="s">
        <v>53</v>
      </c>
    </row>
    <row r="24" spans="1:15" x14ac:dyDescent="0.7">
      <c r="A24" s="13" t="s">
        <v>1</v>
      </c>
      <c r="B24" s="27">
        <f>AVERAGE(B4:B23)</f>
        <v>4.92</v>
      </c>
      <c r="C24" s="27">
        <f>AVERAGE(C4:C22)</f>
        <v>4.5421052631578958</v>
      </c>
      <c r="E24" s="13" t="s">
        <v>1</v>
      </c>
      <c r="F24" s="27" t="e">
        <f>AVERAGE(F4:F23)</f>
        <v>#DIV/0!</v>
      </c>
      <c r="G24" s="27" t="e">
        <f>AVERAGE(G4:G22)</f>
        <v>#DIV/0!</v>
      </c>
      <c r="I24" s="24"/>
      <c r="J24" s="14" t="s">
        <v>3</v>
      </c>
      <c r="L24" s="30"/>
      <c r="M24" s="30"/>
      <c r="O24" t="s">
        <v>47</v>
      </c>
    </row>
    <row r="25" spans="1:15" x14ac:dyDescent="0.7">
      <c r="A25" s="13" t="s">
        <v>4</v>
      </c>
      <c r="B25" s="29"/>
      <c r="C25" s="29"/>
      <c r="E25" s="13" t="s">
        <v>4</v>
      </c>
      <c r="F25" s="29" t="e">
        <f>MEDIAN(F4:F23)</f>
        <v>#NUM!</v>
      </c>
      <c r="G25" s="29" t="e">
        <f>MEDIAN(G4:G22)</f>
        <v>#NUM!</v>
      </c>
      <c r="I25" s="24"/>
      <c r="J25" s="14" t="s">
        <v>3</v>
      </c>
      <c r="L25" s="30"/>
      <c r="M25" s="30"/>
      <c r="O25" t="s">
        <v>48</v>
      </c>
    </row>
    <row r="26" spans="1:15" x14ac:dyDescent="0.7">
      <c r="A26" s="12" t="s">
        <v>13</v>
      </c>
      <c r="B26" s="28">
        <f>_xlfn.QUARTILE.EXC(B4:B23,3)-_xlfn.QUARTILE.EXC(B4:B23,1)</f>
        <v>1</v>
      </c>
      <c r="C26" s="28">
        <f>_xlfn.QUARTILE.EXC(C4:C22,3)-_xlfn.QUARTILE.EXC(C4:C22,1)</f>
        <v>0.59999999999999964</v>
      </c>
      <c r="E26" s="12" t="s">
        <v>13</v>
      </c>
      <c r="F26" s="28" t="e">
        <f>_xlfn.QUARTILE.EXC(F4:F23,3)-_xlfn.QUARTILE.EXC(F4:F23,1)</f>
        <v>#NUM!</v>
      </c>
      <c r="G26" s="28" t="e">
        <f>_xlfn.QUARTILE.EXC(G4:G22,3)-_xlfn.QUARTILE.EXC(G4:G22,1)</f>
        <v>#NUM!</v>
      </c>
      <c r="I26" s="24"/>
      <c r="J26" s="14" t="s">
        <v>3</v>
      </c>
      <c r="L26" s="30"/>
      <c r="M26" s="30"/>
      <c r="O26" t="s">
        <v>49</v>
      </c>
    </row>
    <row r="27" spans="1:15" x14ac:dyDescent="0.7">
      <c r="I27" s="24"/>
      <c r="J27" s="14" t="s">
        <v>3</v>
      </c>
      <c r="L27" s="30"/>
      <c r="M27" s="30"/>
      <c r="O27" t="s">
        <v>35</v>
      </c>
    </row>
    <row r="28" spans="1:15" x14ac:dyDescent="0.7">
      <c r="I28" s="24"/>
      <c r="J28" s="14" t="s">
        <v>3</v>
      </c>
      <c r="L28" s="30"/>
      <c r="M28" s="30"/>
      <c r="O28" t="s">
        <v>50</v>
      </c>
    </row>
    <row r="29" spans="1:15" x14ac:dyDescent="0.7">
      <c r="I29" s="24"/>
      <c r="J29" s="14" t="s">
        <v>3</v>
      </c>
      <c r="L29" s="30"/>
      <c r="M29" s="30"/>
      <c r="O29" s="23" t="s">
        <v>51</v>
      </c>
    </row>
    <row r="30" spans="1:15" x14ac:dyDescent="0.7">
      <c r="I30" s="24"/>
      <c r="J30" s="14" t="s">
        <v>3</v>
      </c>
      <c r="L30" s="30"/>
      <c r="M30" s="30"/>
      <c r="O30" s="23" t="s">
        <v>52</v>
      </c>
    </row>
    <row r="31" spans="1:15" x14ac:dyDescent="0.7">
      <c r="I31" s="24"/>
      <c r="J31" s="14" t="s">
        <v>3</v>
      </c>
      <c r="L31" s="30"/>
      <c r="M31" s="30"/>
      <c r="O31" t="s">
        <v>39</v>
      </c>
    </row>
    <row r="32" spans="1:15" x14ac:dyDescent="0.7">
      <c r="I32" s="24"/>
      <c r="J32" s="14" t="s">
        <v>3</v>
      </c>
      <c r="L32" s="30"/>
      <c r="M32" s="30"/>
      <c r="O32" t="s">
        <v>40</v>
      </c>
    </row>
    <row r="33" spans="9:13" x14ac:dyDescent="0.7">
      <c r="I33" s="24"/>
      <c r="J33" s="14" t="s">
        <v>3</v>
      </c>
      <c r="L33" s="30"/>
      <c r="M33" s="30"/>
    </row>
    <row r="34" spans="9:13" x14ac:dyDescent="0.7">
      <c r="I34" s="24"/>
      <c r="J34" s="14" t="s">
        <v>3</v>
      </c>
      <c r="L34" s="30"/>
      <c r="M34" s="30"/>
    </row>
    <row r="35" spans="9:13" x14ac:dyDescent="0.7">
      <c r="I35" s="24"/>
      <c r="J35" s="14" t="s">
        <v>3</v>
      </c>
      <c r="L35" s="30"/>
      <c r="M35" s="30"/>
    </row>
    <row r="36" spans="9:13" x14ac:dyDescent="0.7">
      <c r="I36" s="24"/>
      <c r="J36" s="14" t="s">
        <v>3</v>
      </c>
      <c r="L36" s="30"/>
      <c r="M36" s="30"/>
    </row>
    <row r="37" spans="9:13" x14ac:dyDescent="0.7">
      <c r="I37" s="24"/>
      <c r="J37" s="14" t="s">
        <v>3</v>
      </c>
      <c r="L37" s="30"/>
      <c r="M37" s="30"/>
    </row>
    <row r="38" spans="9:13" x14ac:dyDescent="0.7">
      <c r="I38" s="24"/>
      <c r="J38" s="14" t="s">
        <v>3</v>
      </c>
      <c r="L38" s="30"/>
      <c r="M38" s="30"/>
    </row>
    <row r="39" spans="9:13" x14ac:dyDescent="0.7">
      <c r="I39" s="24"/>
      <c r="J39" s="14" t="s">
        <v>3</v>
      </c>
      <c r="L39" s="30"/>
      <c r="M39" s="30"/>
    </row>
    <row r="40" spans="9:13" x14ac:dyDescent="0.7">
      <c r="I40" s="24"/>
      <c r="J40" s="14" t="s">
        <v>3</v>
      </c>
      <c r="L40" s="30"/>
      <c r="M40" s="30"/>
    </row>
    <row r="41" spans="9:13" x14ac:dyDescent="0.7">
      <c r="I41" s="24"/>
      <c r="J41" s="14" t="s">
        <v>3</v>
      </c>
      <c r="L41" s="30"/>
      <c r="M41" s="30"/>
    </row>
    <row r="42" spans="9:13" x14ac:dyDescent="0.7">
      <c r="I42" s="26"/>
      <c r="J42" s="15" t="s">
        <v>3</v>
      </c>
      <c r="K42" s="1"/>
      <c r="L42" s="42"/>
      <c r="M42" s="42"/>
    </row>
    <row r="43" spans="9:13" x14ac:dyDescent="0.7">
      <c r="L43" s="30"/>
      <c r="M43" s="30"/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8766-C46E-4D9D-A82E-665BA6DD240B}">
  <dimension ref="A1:R43"/>
  <sheetViews>
    <sheetView workbookViewId="0">
      <selection activeCell="B25" sqref="B25"/>
    </sheetView>
  </sheetViews>
  <sheetFormatPr defaultRowHeight="17.649999999999999" x14ac:dyDescent="0.7"/>
  <cols>
    <col min="5" max="7" width="9" customWidth="1"/>
    <col min="11" max="12" width="10.3125" customWidth="1"/>
    <col min="15" max="15" width="12.75" customWidth="1"/>
    <col min="16" max="18" width="9" customWidth="1"/>
  </cols>
  <sheetData>
    <row r="1" spans="1:18" x14ac:dyDescent="0.7">
      <c r="A1" s="3" t="s">
        <v>14</v>
      </c>
      <c r="B1" s="6"/>
      <c r="C1" s="8"/>
      <c r="E1" s="3" t="s">
        <v>24</v>
      </c>
      <c r="F1" s="6"/>
      <c r="G1" s="8"/>
      <c r="I1" s="31" t="s">
        <v>6</v>
      </c>
      <c r="J1" s="32"/>
      <c r="K1" s="32"/>
      <c r="L1" s="33"/>
      <c r="M1" s="33"/>
      <c r="O1" s="19" t="s">
        <v>20</v>
      </c>
      <c r="P1" s="20"/>
      <c r="Q1" s="21"/>
      <c r="R1" s="21"/>
    </row>
    <row r="3" spans="1:18" x14ac:dyDescent="0.7">
      <c r="A3" s="5" t="s">
        <v>5</v>
      </c>
      <c r="B3" s="5" t="s">
        <v>15</v>
      </c>
      <c r="C3" s="5" t="s">
        <v>16</v>
      </c>
      <c r="E3" s="5" t="s">
        <v>5</v>
      </c>
      <c r="F3" s="5" t="s">
        <v>15</v>
      </c>
      <c r="G3" s="5" t="s">
        <v>16</v>
      </c>
      <c r="I3" s="4" t="s">
        <v>10</v>
      </c>
      <c r="J3" s="4" t="s">
        <v>9</v>
      </c>
      <c r="K3" s="4" t="s">
        <v>17</v>
      </c>
      <c r="L3" s="4" t="s">
        <v>18</v>
      </c>
      <c r="M3" s="4" t="s">
        <v>19</v>
      </c>
      <c r="O3" s="18" t="s">
        <v>9</v>
      </c>
      <c r="P3" s="18" t="s">
        <v>7</v>
      </c>
      <c r="Q3" s="18" t="s">
        <v>11</v>
      </c>
      <c r="R3" s="18" t="s">
        <v>12</v>
      </c>
    </row>
    <row r="4" spans="1:18" x14ac:dyDescent="0.7">
      <c r="A4">
        <v>1</v>
      </c>
      <c r="B4" s="24">
        <v>4.8</v>
      </c>
      <c r="C4" s="24">
        <v>4.7</v>
      </c>
      <c r="E4">
        <v>1</v>
      </c>
      <c r="F4" s="39" cm="1">
        <f t="array" ref="F4:F23">B4:B23-B25</f>
        <v>-4.9999999999999822E-2</v>
      </c>
      <c r="G4" s="39" cm="1">
        <f t="array" ref="G4:G22">C4:C22-C25</f>
        <v>0.20000000000000018</v>
      </c>
      <c r="H4" s="11"/>
      <c r="I4" s="24" cm="1">
        <f t="array" ref="I4:I42">_xlfn.VSTACK(F4:F23,G4:G22)</f>
        <v>-4.9999999999999822E-2</v>
      </c>
      <c r="J4" s="14" t="s">
        <v>2</v>
      </c>
      <c r="K4" cm="1">
        <f t="array" ref="K4:K42">_xlfn.RANK.AVG(I4:I42,I4:I42,1)</f>
        <v>19</v>
      </c>
      <c r="L4" s="30" cm="1">
        <f t="array" ref="L4:L42">_xlfn.RANK.AVG(I4:I42,I4:I42,0)</f>
        <v>21</v>
      </c>
      <c r="M4" s="30">
        <f>MIN(K4,L4)</f>
        <v>19</v>
      </c>
      <c r="O4" s="16" t="s">
        <v>2</v>
      </c>
      <c r="P4" cm="1">
        <f t="array" ref="P4:P5">SUMIF(J4:J42,O4:O5,M4:M42)</f>
        <v>163</v>
      </c>
      <c r="Q4" cm="1">
        <f t="array" ref="Q4:Q5">COUNTIF(J4:J42,O4:O5)</f>
        <v>20</v>
      </c>
      <c r="R4">
        <f>Q4+Q5</f>
        <v>39</v>
      </c>
    </row>
    <row r="5" spans="1:18" x14ac:dyDescent="0.7">
      <c r="A5">
        <v>2</v>
      </c>
      <c r="B5" s="24">
        <v>5.8</v>
      </c>
      <c r="C5" s="24">
        <v>4.2</v>
      </c>
      <c r="E5">
        <v>2</v>
      </c>
      <c r="F5" s="39">
        <v>0.95000000000000018</v>
      </c>
      <c r="G5" s="39">
        <v>-0.29999999999999982</v>
      </c>
      <c r="H5" s="11"/>
      <c r="I5" s="24">
        <v>0.95000000000000018</v>
      </c>
      <c r="J5" s="14" t="s">
        <v>2</v>
      </c>
      <c r="K5">
        <v>38.5</v>
      </c>
      <c r="L5" s="30">
        <v>1.5</v>
      </c>
      <c r="M5" s="30">
        <f t="shared" ref="M5:M42" si="0">MIN(K5,L5)</f>
        <v>1.5</v>
      </c>
      <c r="O5" s="17" t="s">
        <v>3</v>
      </c>
      <c r="P5" s="1">
        <v>237</v>
      </c>
      <c r="Q5" s="1">
        <v>19</v>
      </c>
      <c r="R5" s="46"/>
    </row>
    <row r="6" spans="1:18" x14ac:dyDescent="0.7">
      <c r="A6">
        <v>3</v>
      </c>
      <c r="B6" s="24">
        <v>5.4</v>
      </c>
      <c r="C6" s="24">
        <v>4.4000000000000004</v>
      </c>
      <c r="E6">
        <v>3</v>
      </c>
      <c r="F6" s="39">
        <v>0.55000000000000071</v>
      </c>
      <c r="G6" s="39">
        <v>-9.9999999999999645E-2</v>
      </c>
      <c r="H6" s="11"/>
      <c r="I6" s="24">
        <v>0.55000000000000071</v>
      </c>
      <c r="J6" s="14" t="s">
        <v>2</v>
      </c>
      <c r="K6">
        <v>32.5</v>
      </c>
      <c r="L6" s="30">
        <v>7.5</v>
      </c>
      <c r="M6" s="30">
        <f t="shared" si="0"/>
        <v>7.5</v>
      </c>
    </row>
    <row r="7" spans="1:18" x14ac:dyDescent="0.7">
      <c r="A7">
        <v>4</v>
      </c>
      <c r="B7" s="24">
        <v>5.2</v>
      </c>
      <c r="C7" s="24">
        <v>4.4000000000000004</v>
      </c>
      <c r="E7">
        <v>4</v>
      </c>
      <c r="F7" s="39">
        <v>0.35000000000000053</v>
      </c>
      <c r="G7" s="39">
        <v>-9.9999999999999645E-2</v>
      </c>
      <c r="H7" s="11"/>
      <c r="I7" s="24">
        <v>0.35000000000000053</v>
      </c>
      <c r="J7" s="14" t="s">
        <v>2</v>
      </c>
      <c r="K7">
        <v>28.5</v>
      </c>
      <c r="L7" s="30">
        <v>11.5</v>
      </c>
      <c r="M7" s="30">
        <f t="shared" si="0"/>
        <v>11.5</v>
      </c>
      <c r="O7" s="18" t="s">
        <v>23</v>
      </c>
      <c r="P7" s="44" cm="1">
        <f t="array" ref="P7">SUM(M4:M42^2)</f>
        <v>5325</v>
      </c>
    </row>
    <row r="8" spans="1:18" x14ac:dyDescent="0.7">
      <c r="A8">
        <v>5</v>
      </c>
      <c r="B8" s="24">
        <v>4.4000000000000004</v>
      </c>
      <c r="C8" s="24">
        <v>4.5</v>
      </c>
      <c r="E8">
        <v>5</v>
      </c>
      <c r="F8" s="39">
        <v>-0.44999999999999929</v>
      </c>
      <c r="G8" s="39">
        <v>0</v>
      </c>
      <c r="H8" s="11"/>
      <c r="I8" s="24">
        <v>-0.44999999999999929</v>
      </c>
      <c r="J8" s="14" t="s">
        <v>2</v>
      </c>
      <c r="K8">
        <v>4.5</v>
      </c>
      <c r="L8" s="30">
        <v>35.5</v>
      </c>
      <c r="M8" s="30">
        <f t="shared" si="0"/>
        <v>4.5</v>
      </c>
    </row>
    <row r="9" spans="1:18" x14ac:dyDescent="0.7">
      <c r="A9">
        <v>6</v>
      </c>
      <c r="B9" s="24">
        <v>4.4000000000000004</v>
      </c>
      <c r="C9" s="24">
        <v>4.9000000000000004</v>
      </c>
      <c r="E9">
        <v>6</v>
      </c>
      <c r="F9" s="39">
        <v>-0.44999999999999929</v>
      </c>
      <c r="G9" s="39">
        <v>0.40000000000000036</v>
      </c>
      <c r="H9" s="11"/>
      <c r="I9" s="24">
        <v>-0.44999999999999929</v>
      </c>
      <c r="J9" s="14" t="s">
        <v>2</v>
      </c>
      <c r="K9">
        <v>4.5</v>
      </c>
      <c r="L9" s="30">
        <v>35.5</v>
      </c>
      <c r="M9" s="30">
        <f t="shared" si="0"/>
        <v>4.5</v>
      </c>
      <c r="O9" s="22" t="s">
        <v>21</v>
      </c>
      <c r="P9" s="43">
        <f>Q4*(R4+1)^2/(4*R4)</f>
        <v>205.12820512820514</v>
      </c>
    </row>
    <row r="10" spans="1:18" x14ac:dyDescent="0.7">
      <c r="A10">
        <v>7</v>
      </c>
      <c r="B10" s="24">
        <v>4.2</v>
      </c>
      <c r="C10" s="24">
        <v>4.2</v>
      </c>
      <c r="E10">
        <v>7</v>
      </c>
      <c r="F10" s="39">
        <v>-0.64999999999999947</v>
      </c>
      <c r="G10" s="39">
        <v>-0.29999999999999982</v>
      </c>
      <c r="H10" s="11"/>
      <c r="I10" s="24">
        <v>-0.64999999999999947</v>
      </c>
      <c r="J10" s="14" t="s">
        <v>2</v>
      </c>
      <c r="K10">
        <v>2</v>
      </c>
      <c r="L10" s="30">
        <v>38</v>
      </c>
      <c r="M10" s="30">
        <f t="shared" si="0"/>
        <v>2</v>
      </c>
      <c r="O10" s="9" t="s">
        <v>22</v>
      </c>
      <c r="P10" s="2">
        <f>Q4*Q5*(16*R4*P7-(R4+1)^4)/(16*R4^2*(R4-1))</f>
        <v>313.44510190664039</v>
      </c>
    </row>
    <row r="11" spans="1:18" x14ac:dyDescent="0.7">
      <c r="A11">
        <v>8</v>
      </c>
      <c r="B11" s="24">
        <v>5.7</v>
      </c>
      <c r="C11" s="24">
        <v>4.5999999999999996</v>
      </c>
      <c r="E11">
        <v>8</v>
      </c>
      <c r="F11" s="39">
        <v>0.85000000000000053</v>
      </c>
      <c r="G11" s="39">
        <v>9.9999999999999645E-2</v>
      </c>
      <c r="H11" s="11"/>
      <c r="I11" s="24">
        <v>0.85000000000000053</v>
      </c>
      <c r="J11" s="14" t="s">
        <v>2</v>
      </c>
      <c r="K11">
        <v>37</v>
      </c>
      <c r="L11" s="30">
        <v>3</v>
      </c>
      <c r="M11" s="30">
        <f t="shared" si="0"/>
        <v>3</v>
      </c>
      <c r="O11" s="9" t="s">
        <v>8</v>
      </c>
      <c r="P11" s="2">
        <f>(ABS(P4-P9))/SQRT(P10)</f>
        <v>2.3795356326294703</v>
      </c>
      <c r="Q11" s="35"/>
    </row>
    <row r="12" spans="1:18" x14ac:dyDescent="0.7">
      <c r="A12">
        <v>9</v>
      </c>
      <c r="B12" s="24">
        <v>5.2</v>
      </c>
      <c r="C12" s="25">
        <v>4.7</v>
      </c>
      <c r="E12">
        <v>9</v>
      </c>
      <c r="F12" s="39">
        <v>0.35000000000000053</v>
      </c>
      <c r="G12" s="40">
        <v>0.20000000000000018</v>
      </c>
      <c r="H12" s="11"/>
      <c r="I12" s="24">
        <v>0.35000000000000053</v>
      </c>
      <c r="J12" s="14" t="s">
        <v>2</v>
      </c>
      <c r="K12">
        <v>28.5</v>
      </c>
      <c r="L12" s="30">
        <v>11.5</v>
      </c>
      <c r="M12" s="30">
        <f t="shared" si="0"/>
        <v>11.5</v>
      </c>
      <c r="O12" s="10" t="s">
        <v>0</v>
      </c>
      <c r="P12" s="7">
        <f>1-_xlfn.NORM.S.DIST(P11,TRUE)</f>
        <v>8.6672335024243763E-3</v>
      </c>
    </row>
    <row r="13" spans="1:18" x14ac:dyDescent="0.7">
      <c r="A13">
        <v>10</v>
      </c>
      <c r="B13" s="25">
        <v>5.4</v>
      </c>
      <c r="C13" s="24">
        <v>4.0999999999999996</v>
      </c>
      <c r="E13">
        <v>10</v>
      </c>
      <c r="F13" s="40">
        <v>0.55000000000000071</v>
      </c>
      <c r="G13" s="39">
        <v>-0.40000000000000036</v>
      </c>
      <c r="H13" s="11"/>
      <c r="I13" s="24">
        <v>0.55000000000000071</v>
      </c>
      <c r="J13" s="14" t="s">
        <v>2</v>
      </c>
      <c r="K13">
        <v>32.5</v>
      </c>
      <c r="L13" s="30">
        <v>7.5</v>
      </c>
      <c r="M13" s="30">
        <f t="shared" si="0"/>
        <v>7.5</v>
      </c>
    </row>
    <row r="14" spans="1:18" x14ac:dyDescent="0.7">
      <c r="A14">
        <v>11</v>
      </c>
      <c r="B14" s="24">
        <v>4.0999999999999996</v>
      </c>
      <c r="C14" s="24">
        <v>4.7</v>
      </c>
      <c r="E14">
        <v>11</v>
      </c>
      <c r="F14" s="39">
        <v>-0.75</v>
      </c>
      <c r="G14" s="39">
        <v>0.20000000000000018</v>
      </c>
      <c r="H14" s="11"/>
      <c r="I14" s="24">
        <v>-0.75</v>
      </c>
      <c r="J14" s="14" t="s">
        <v>2</v>
      </c>
      <c r="K14">
        <v>1</v>
      </c>
      <c r="L14" s="30">
        <v>39</v>
      </c>
      <c r="M14" s="30">
        <f t="shared" si="0"/>
        <v>1</v>
      </c>
      <c r="O14" s="45" t="s">
        <v>25</v>
      </c>
    </row>
    <row r="15" spans="1:18" x14ac:dyDescent="0.7">
      <c r="A15">
        <v>12</v>
      </c>
      <c r="B15" s="24">
        <v>5.8</v>
      </c>
      <c r="C15" s="24">
        <v>4.2</v>
      </c>
      <c r="E15">
        <v>12</v>
      </c>
      <c r="F15" s="39">
        <v>0.95000000000000018</v>
      </c>
      <c r="G15" s="39">
        <v>-0.29999999999999982</v>
      </c>
      <c r="H15" s="11"/>
      <c r="I15" s="24">
        <v>0.95000000000000018</v>
      </c>
      <c r="J15" s="14" t="s">
        <v>2</v>
      </c>
      <c r="K15">
        <v>38.5</v>
      </c>
      <c r="L15" s="30">
        <v>1.5</v>
      </c>
      <c r="M15" s="30">
        <f t="shared" si="0"/>
        <v>1.5</v>
      </c>
      <c r="O15" t="s">
        <v>26</v>
      </c>
    </row>
    <row r="16" spans="1:18" x14ac:dyDescent="0.7">
      <c r="A16">
        <v>13</v>
      </c>
      <c r="B16" s="24">
        <v>5.6</v>
      </c>
      <c r="C16" s="24">
        <v>4.0999999999999996</v>
      </c>
      <c r="E16">
        <v>13</v>
      </c>
      <c r="F16" s="39">
        <v>0.75</v>
      </c>
      <c r="G16" s="39">
        <v>-0.40000000000000036</v>
      </c>
      <c r="H16" s="11"/>
      <c r="I16" s="24">
        <v>0.75</v>
      </c>
      <c r="J16" s="14" t="s">
        <v>2</v>
      </c>
      <c r="K16">
        <v>36</v>
      </c>
      <c r="L16" s="30">
        <v>4</v>
      </c>
      <c r="M16" s="30">
        <f t="shared" si="0"/>
        <v>4</v>
      </c>
      <c r="O16" t="s">
        <v>42</v>
      </c>
      <c r="R16" s="34"/>
    </row>
    <row r="17" spans="1:15" x14ac:dyDescent="0.7">
      <c r="A17">
        <v>14</v>
      </c>
      <c r="B17" s="24">
        <v>4.5</v>
      </c>
      <c r="C17" s="24">
        <v>5.0999999999999996</v>
      </c>
      <c r="E17">
        <v>14</v>
      </c>
      <c r="F17" s="39">
        <v>-0.34999999999999964</v>
      </c>
      <c r="G17" s="39">
        <v>0.59999999999999964</v>
      </c>
      <c r="H17" s="11"/>
      <c r="I17" s="24">
        <v>-0.34999999999999964</v>
      </c>
      <c r="J17" s="14" t="s">
        <v>2</v>
      </c>
      <c r="K17">
        <v>10</v>
      </c>
      <c r="L17" s="30">
        <v>30</v>
      </c>
      <c r="M17" s="30">
        <f t="shared" si="0"/>
        <v>10</v>
      </c>
      <c r="O17" t="s">
        <v>27</v>
      </c>
    </row>
    <row r="18" spans="1:15" x14ac:dyDescent="0.7">
      <c r="A18">
        <v>15</v>
      </c>
      <c r="B18" s="24">
        <v>4.4000000000000004</v>
      </c>
      <c r="C18" s="24">
        <v>5.2</v>
      </c>
      <c r="E18">
        <v>15</v>
      </c>
      <c r="F18" s="39">
        <v>-0.44999999999999929</v>
      </c>
      <c r="G18" s="39">
        <v>0.70000000000000018</v>
      </c>
      <c r="H18" s="11"/>
      <c r="I18" s="24">
        <v>-0.44999999999999929</v>
      </c>
      <c r="J18" s="14" t="s">
        <v>2</v>
      </c>
      <c r="K18">
        <v>4.5</v>
      </c>
      <c r="L18" s="30">
        <v>35.5</v>
      </c>
      <c r="M18" s="30">
        <f t="shared" si="0"/>
        <v>4.5</v>
      </c>
      <c r="O18" t="s">
        <v>43</v>
      </c>
    </row>
    <row r="19" spans="1:15" x14ac:dyDescent="0.7">
      <c r="A19">
        <v>16</v>
      </c>
      <c r="B19" s="24">
        <v>4.4000000000000004</v>
      </c>
      <c r="C19" s="24">
        <v>5</v>
      </c>
      <c r="E19">
        <v>16</v>
      </c>
      <c r="F19" s="39">
        <v>-0.44999999999999929</v>
      </c>
      <c r="G19" s="39">
        <v>0.5</v>
      </c>
      <c r="H19" s="11"/>
      <c r="I19" s="24">
        <v>-0.44999999999999929</v>
      </c>
      <c r="J19" s="14" t="s">
        <v>2</v>
      </c>
      <c r="K19">
        <v>4.5</v>
      </c>
      <c r="L19" s="30">
        <v>35.5</v>
      </c>
      <c r="M19" s="30">
        <f t="shared" si="0"/>
        <v>4.5</v>
      </c>
      <c r="O19" t="s">
        <v>44</v>
      </c>
    </row>
    <row r="20" spans="1:15" x14ac:dyDescent="0.7">
      <c r="A20">
        <v>17</v>
      </c>
      <c r="B20" s="24">
        <v>4.5999999999999996</v>
      </c>
      <c r="C20" s="24">
        <v>4.4000000000000004</v>
      </c>
      <c r="E20">
        <v>17</v>
      </c>
      <c r="F20" s="39">
        <v>-0.25</v>
      </c>
      <c r="G20" s="39">
        <v>-9.9999999999999645E-2</v>
      </c>
      <c r="H20" s="11"/>
      <c r="I20" s="24">
        <v>-0.25</v>
      </c>
      <c r="J20" s="14" t="s">
        <v>2</v>
      </c>
      <c r="K20">
        <v>14.5</v>
      </c>
      <c r="L20" s="30">
        <v>25.5</v>
      </c>
      <c r="M20" s="30">
        <f t="shared" si="0"/>
        <v>14.5</v>
      </c>
      <c r="O20" t="s">
        <v>54</v>
      </c>
    </row>
    <row r="21" spans="1:15" x14ac:dyDescent="0.7">
      <c r="A21">
        <v>18</v>
      </c>
      <c r="B21" s="24">
        <v>5</v>
      </c>
      <c r="C21" s="24">
        <v>4.0999999999999996</v>
      </c>
      <c r="E21">
        <v>18</v>
      </c>
      <c r="F21" s="39">
        <v>0.15000000000000036</v>
      </c>
      <c r="G21" s="39">
        <v>-0.40000000000000036</v>
      </c>
      <c r="H21" s="11"/>
      <c r="I21" s="24">
        <v>0.15000000000000036</v>
      </c>
      <c r="J21" s="14" t="s">
        <v>2</v>
      </c>
      <c r="K21">
        <v>23</v>
      </c>
      <c r="L21" s="30">
        <v>17</v>
      </c>
      <c r="M21" s="30">
        <f t="shared" si="0"/>
        <v>17</v>
      </c>
      <c r="O21" t="s">
        <v>45</v>
      </c>
    </row>
    <row r="22" spans="1:15" x14ac:dyDescent="0.7">
      <c r="A22">
        <v>19</v>
      </c>
      <c r="B22" s="24">
        <v>4.9000000000000004</v>
      </c>
      <c r="C22" s="24">
        <v>4.8</v>
      </c>
      <c r="E22">
        <v>19</v>
      </c>
      <c r="F22" s="39">
        <v>5.0000000000000711E-2</v>
      </c>
      <c r="G22" s="39">
        <v>0.29999999999999982</v>
      </c>
      <c r="H22" s="11"/>
      <c r="I22" s="24">
        <v>5.0000000000000711E-2</v>
      </c>
      <c r="J22" s="14" t="s">
        <v>2</v>
      </c>
      <c r="K22">
        <v>21</v>
      </c>
      <c r="L22" s="30">
        <v>19</v>
      </c>
      <c r="M22" s="30">
        <f t="shared" si="0"/>
        <v>19</v>
      </c>
      <c r="O22" t="s">
        <v>46</v>
      </c>
    </row>
    <row r="23" spans="1:15" x14ac:dyDescent="0.7">
      <c r="A23" s="1">
        <v>20</v>
      </c>
      <c r="B23" s="26">
        <v>4.5999999999999996</v>
      </c>
      <c r="C23" s="26"/>
      <c r="E23" s="1">
        <v>20</v>
      </c>
      <c r="F23" s="41">
        <v>-0.25</v>
      </c>
      <c r="G23" s="41"/>
      <c r="H23" s="11"/>
      <c r="I23" s="24">
        <v>-0.25</v>
      </c>
      <c r="J23" s="14" t="s">
        <v>2</v>
      </c>
      <c r="K23">
        <v>14.5</v>
      </c>
      <c r="L23" s="30">
        <v>25.5</v>
      </c>
      <c r="M23" s="30">
        <f t="shared" si="0"/>
        <v>14.5</v>
      </c>
      <c r="O23" t="s">
        <v>53</v>
      </c>
    </row>
    <row r="24" spans="1:15" x14ac:dyDescent="0.7">
      <c r="A24" s="13" t="s">
        <v>1</v>
      </c>
      <c r="B24" s="27">
        <f>AVERAGE(B4:B23)</f>
        <v>4.92</v>
      </c>
      <c r="C24" s="27">
        <f>AVERAGE(C4:C22)</f>
        <v>4.5421052631578958</v>
      </c>
      <c r="E24" s="13" t="s">
        <v>1</v>
      </c>
      <c r="F24" s="27">
        <f>AVERAGE(F4:F23)</f>
        <v>7.0000000000000423E-2</v>
      </c>
      <c r="G24" s="27">
        <f>AVERAGE(G4:G22)</f>
        <v>4.2105263157894778E-2</v>
      </c>
      <c r="I24" s="24">
        <v>0.20000000000000018</v>
      </c>
      <c r="J24" s="14" t="s">
        <v>3</v>
      </c>
      <c r="K24">
        <v>25</v>
      </c>
      <c r="L24" s="30">
        <v>15</v>
      </c>
      <c r="M24" s="30">
        <f t="shared" si="0"/>
        <v>15</v>
      </c>
      <c r="O24" t="s">
        <v>47</v>
      </c>
    </row>
    <row r="25" spans="1:15" x14ac:dyDescent="0.7">
      <c r="A25" s="13" t="s">
        <v>4</v>
      </c>
      <c r="B25" s="29">
        <f>MEDIAN(B4:B23)</f>
        <v>4.8499999999999996</v>
      </c>
      <c r="C25" s="29">
        <f>MEDIAN(C4:C22)</f>
        <v>4.5</v>
      </c>
      <c r="E25" s="13" t="s">
        <v>4</v>
      </c>
      <c r="F25" s="29">
        <f>MEDIAN(F4:F23)</f>
        <v>4.4408920985006262E-16</v>
      </c>
      <c r="G25" s="29">
        <f>MEDIAN(G4:G22)</f>
        <v>0</v>
      </c>
      <c r="I25" s="24">
        <v>-0.29999999999999982</v>
      </c>
      <c r="J25" s="14" t="s">
        <v>3</v>
      </c>
      <c r="K25">
        <v>12</v>
      </c>
      <c r="L25" s="30">
        <v>28</v>
      </c>
      <c r="M25" s="30">
        <f t="shared" si="0"/>
        <v>12</v>
      </c>
      <c r="O25" t="s">
        <v>48</v>
      </c>
    </row>
    <row r="26" spans="1:15" x14ac:dyDescent="0.7">
      <c r="A26" s="12" t="s">
        <v>13</v>
      </c>
      <c r="B26" s="28">
        <f>_xlfn.QUARTILE.EXC(B4:B23,3)-_xlfn.QUARTILE.EXC(B4:B23,1)</f>
        <v>1</v>
      </c>
      <c r="C26" s="28">
        <f>_xlfn.QUARTILE.EXC(C4:C22,3)-_xlfn.QUARTILE.EXC(C4:C22,1)</f>
        <v>0.59999999999999964</v>
      </c>
      <c r="E26" s="12" t="s">
        <v>13</v>
      </c>
      <c r="F26" s="28">
        <f>_xlfn.QUARTILE.EXC(F4:F23,3)-_xlfn.QUARTILE.EXC(F4:F23,1)</f>
        <v>1</v>
      </c>
      <c r="G26" s="28">
        <f>_xlfn.QUARTILE.EXC(G4:G22,3)-_xlfn.QUARTILE.EXC(G4:G22,1)</f>
        <v>0.59999999999999964</v>
      </c>
      <c r="I26" s="24">
        <v>-9.9999999999999645E-2</v>
      </c>
      <c r="J26" s="14" t="s">
        <v>3</v>
      </c>
      <c r="K26">
        <v>17</v>
      </c>
      <c r="L26" s="30">
        <v>23</v>
      </c>
      <c r="M26" s="30">
        <f t="shared" si="0"/>
        <v>17</v>
      </c>
      <c r="O26" t="s">
        <v>49</v>
      </c>
    </row>
    <row r="27" spans="1:15" x14ac:dyDescent="0.7">
      <c r="I27" s="24">
        <v>-9.9999999999999645E-2</v>
      </c>
      <c r="J27" s="14" t="s">
        <v>3</v>
      </c>
      <c r="K27">
        <v>17</v>
      </c>
      <c r="L27" s="30">
        <v>23</v>
      </c>
      <c r="M27" s="30">
        <f t="shared" si="0"/>
        <v>17</v>
      </c>
      <c r="O27" t="s">
        <v>35</v>
      </c>
    </row>
    <row r="28" spans="1:15" x14ac:dyDescent="0.7">
      <c r="I28" s="24">
        <v>0</v>
      </c>
      <c r="J28" s="14" t="s">
        <v>3</v>
      </c>
      <c r="K28">
        <v>20</v>
      </c>
      <c r="L28" s="30">
        <v>20</v>
      </c>
      <c r="M28" s="30">
        <f t="shared" si="0"/>
        <v>20</v>
      </c>
      <c r="O28" t="s">
        <v>50</v>
      </c>
    </row>
    <row r="29" spans="1:15" x14ac:dyDescent="0.7">
      <c r="I29" s="24">
        <v>0.40000000000000036</v>
      </c>
      <c r="J29" s="14" t="s">
        <v>3</v>
      </c>
      <c r="K29">
        <v>30</v>
      </c>
      <c r="L29" s="30">
        <v>10</v>
      </c>
      <c r="M29" s="30">
        <f t="shared" si="0"/>
        <v>10</v>
      </c>
      <c r="O29" s="23" t="s">
        <v>51</v>
      </c>
    </row>
    <row r="30" spans="1:15" x14ac:dyDescent="0.7">
      <c r="I30" s="24">
        <v>-0.29999999999999982</v>
      </c>
      <c r="J30" s="14" t="s">
        <v>3</v>
      </c>
      <c r="K30">
        <v>12</v>
      </c>
      <c r="L30" s="30">
        <v>28</v>
      </c>
      <c r="M30" s="30">
        <f t="shared" si="0"/>
        <v>12</v>
      </c>
      <c r="O30" s="23" t="s">
        <v>52</v>
      </c>
    </row>
    <row r="31" spans="1:15" x14ac:dyDescent="0.7">
      <c r="I31" s="24">
        <v>9.9999999999999645E-2</v>
      </c>
      <c r="J31" s="14" t="s">
        <v>3</v>
      </c>
      <c r="K31">
        <v>22</v>
      </c>
      <c r="L31" s="30">
        <v>18</v>
      </c>
      <c r="M31" s="30">
        <f t="shared" si="0"/>
        <v>18</v>
      </c>
      <c r="O31" t="s">
        <v>39</v>
      </c>
    </row>
    <row r="32" spans="1:15" x14ac:dyDescent="0.7">
      <c r="I32" s="24">
        <v>0.20000000000000018</v>
      </c>
      <c r="J32" s="14" t="s">
        <v>3</v>
      </c>
      <c r="K32">
        <v>25</v>
      </c>
      <c r="L32" s="30">
        <v>15</v>
      </c>
      <c r="M32" s="30">
        <f t="shared" si="0"/>
        <v>15</v>
      </c>
      <c r="O32" t="s">
        <v>40</v>
      </c>
    </row>
    <row r="33" spans="9:13" x14ac:dyDescent="0.7">
      <c r="I33" s="24">
        <v>-0.40000000000000036</v>
      </c>
      <c r="J33" s="14" t="s">
        <v>3</v>
      </c>
      <c r="K33">
        <v>8</v>
      </c>
      <c r="L33" s="30">
        <v>32</v>
      </c>
      <c r="M33" s="30">
        <f t="shared" si="0"/>
        <v>8</v>
      </c>
    </row>
    <row r="34" spans="9:13" x14ac:dyDescent="0.7">
      <c r="I34" s="24">
        <v>0.20000000000000018</v>
      </c>
      <c r="J34" s="14" t="s">
        <v>3</v>
      </c>
      <c r="K34">
        <v>25</v>
      </c>
      <c r="L34" s="30">
        <v>15</v>
      </c>
      <c r="M34" s="30">
        <f t="shared" si="0"/>
        <v>15</v>
      </c>
    </row>
    <row r="35" spans="9:13" x14ac:dyDescent="0.7">
      <c r="I35" s="24">
        <v>-0.29999999999999982</v>
      </c>
      <c r="J35" s="14" t="s">
        <v>3</v>
      </c>
      <c r="K35">
        <v>12</v>
      </c>
      <c r="L35" s="30">
        <v>28</v>
      </c>
      <c r="M35" s="30">
        <f t="shared" si="0"/>
        <v>12</v>
      </c>
    </row>
    <row r="36" spans="9:13" x14ac:dyDescent="0.7">
      <c r="I36" s="24">
        <v>-0.40000000000000036</v>
      </c>
      <c r="J36" s="14" t="s">
        <v>3</v>
      </c>
      <c r="K36">
        <v>8</v>
      </c>
      <c r="L36" s="30">
        <v>32</v>
      </c>
      <c r="M36" s="30">
        <f t="shared" si="0"/>
        <v>8</v>
      </c>
    </row>
    <row r="37" spans="9:13" x14ac:dyDescent="0.7">
      <c r="I37" s="24">
        <v>0.59999999999999964</v>
      </c>
      <c r="J37" s="14" t="s">
        <v>3</v>
      </c>
      <c r="K37">
        <v>34</v>
      </c>
      <c r="L37" s="30">
        <v>6</v>
      </c>
      <c r="M37" s="30">
        <f t="shared" si="0"/>
        <v>6</v>
      </c>
    </row>
    <row r="38" spans="9:13" x14ac:dyDescent="0.7">
      <c r="I38" s="24">
        <v>0.70000000000000018</v>
      </c>
      <c r="J38" s="14" t="s">
        <v>3</v>
      </c>
      <c r="K38">
        <v>35</v>
      </c>
      <c r="L38" s="30">
        <v>5</v>
      </c>
      <c r="M38" s="30">
        <f t="shared" si="0"/>
        <v>5</v>
      </c>
    </row>
    <row r="39" spans="9:13" x14ac:dyDescent="0.7">
      <c r="I39" s="24">
        <v>0.5</v>
      </c>
      <c r="J39" s="14" t="s">
        <v>3</v>
      </c>
      <c r="K39">
        <v>31</v>
      </c>
      <c r="L39" s="30">
        <v>9</v>
      </c>
      <c r="M39" s="30">
        <f t="shared" si="0"/>
        <v>9</v>
      </c>
    </row>
    <row r="40" spans="9:13" x14ac:dyDescent="0.7">
      <c r="I40" s="24">
        <v>-9.9999999999999645E-2</v>
      </c>
      <c r="J40" s="14" t="s">
        <v>3</v>
      </c>
      <c r="K40">
        <v>17</v>
      </c>
      <c r="L40" s="30">
        <v>23</v>
      </c>
      <c r="M40" s="30">
        <f t="shared" si="0"/>
        <v>17</v>
      </c>
    </row>
    <row r="41" spans="9:13" x14ac:dyDescent="0.7">
      <c r="I41" s="24">
        <v>-0.40000000000000036</v>
      </c>
      <c r="J41" s="14" t="s">
        <v>3</v>
      </c>
      <c r="K41">
        <v>8</v>
      </c>
      <c r="L41" s="30">
        <v>32</v>
      </c>
      <c r="M41" s="30">
        <f t="shared" si="0"/>
        <v>8</v>
      </c>
    </row>
    <row r="42" spans="9:13" x14ac:dyDescent="0.7">
      <c r="I42" s="26">
        <v>0.29999999999999982</v>
      </c>
      <c r="J42" s="15" t="s">
        <v>3</v>
      </c>
      <c r="K42" s="1">
        <v>27</v>
      </c>
      <c r="L42" s="42">
        <v>13</v>
      </c>
      <c r="M42" s="42">
        <f t="shared" si="0"/>
        <v>13</v>
      </c>
    </row>
    <row r="43" spans="9:13" x14ac:dyDescent="0.7">
      <c r="L43" s="30"/>
      <c r="M43" s="30"/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アンサリ・ブラッドレイ検定</vt:lpstr>
      <vt:lpstr>アンサリ・ブラッドレイ検定 (作成例)</vt:lpstr>
      <vt:lpstr>アンサリ・ブラッドレイ検定 (Nが奇数)</vt:lpstr>
      <vt:lpstr>アンサリ・ブラッドレイ検定 (Nが奇数、作成例)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羽山博</dc:creator>
  <cp:lastModifiedBy>羽山博</cp:lastModifiedBy>
  <dcterms:created xsi:type="dcterms:W3CDTF">2024-01-14T22:34:46Z</dcterms:created>
  <dcterms:modified xsi:type="dcterms:W3CDTF">2026-02-02T03:21:32Z</dcterms:modified>
</cp:coreProperties>
</file>