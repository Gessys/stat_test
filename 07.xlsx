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5E749230-7A47-41B1-AE0D-E0969D10DCC1}" xr6:coauthVersionLast="47" xr6:coauthVersionMax="47" xr10:uidLastSave="{00000000-0000-0000-0000-000000000000}"/>
  <bookViews>
    <workbookView xWindow="8063" yWindow="4470" windowWidth="28185" windowHeight="15030" xr2:uid="{C639BABD-536E-422D-8343-BEC1CC7F530C}"/>
  </bookViews>
  <sheets>
    <sheet name="独立性の検定" sheetId="1" r:id="rId1"/>
    <sheet name="独立性の検定 (作成例)" sheetId="2" r:id="rId2"/>
    <sheet name="独立性の検定 (定義通りに計算)" sheetId="3" r:id="rId3"/>
    <sheet name="独立性の検定 (定義通りに計算・作成例)" sheetId="7" r:id="rId4"/>
    <sheet name="サンプルサイズ (z近似)" sheetId="6" r:id="rId5"/>
    <sheet name="サンプルサイズ (z近似・作成例)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8" l="1"/>
  <c r="D21" i="8"/>
  <c r="C6" i="8"/>
  <c r="B6" i="8"/>
  <c r="D5" i="8"/>
  <c r="D4" i="8"/>
  <c r="C6" i="7"/>
  <c r="B6" i="7"/>
  <c r="D5" i="7"/>
  <c r="D4" i="7"/>
  <c r="C6" i="6"/>
  <c r="B6" i="6"/>
  <c r="D5" i="6"/>
  <c r="D4" i="6"/>
  <c r="C6" i="3"/>
  <c r="B6" i="3"/>
  <c r="D5" i="3"/>
  <c r="D4" i="3"/>
  <c r="C11" i="1"/>
  <c r="D10" i="1"/>
  <c r="C6" i="2"/>
  <c r="B6" i="2"/>
  <c r="D5" i="2"/>
  <c r="D4" i="2"/>
  <c r="C6" i="1"/>
  <c r="B6" i="1"/>
  <c r="D5" i="1"/>
  <c r="D4" i="1"/>
  <c r="D6" i="8" l="1"/>
  <c r="B9" i="8" s="1" a="1"/>
  <c r="C11" i="8" s="1"/>
  <c r="D6" i="7"/>
  <c r="B9" i="7" s="1" a="1"/>
  <c r="B9" i="7" s="1"/>
  <c r="D6" i="6"/>
  <c r="D6" i="3"/>
  <c r="B9" i="3" s="1" a="1"/>
  <c r="B9" i="3" s="1"/>
  <c r="D9" i="1"/>
  <c r="B11" i="1"/>
  <c r="D11" i="1" s="1"/>
  <c r="D6" i="2"/>
  <c r="B9" i="2" s="1" a="1"/>
  <c r="B9" i="2" s="1"/>
  <c r="D6" i="1"/>
  <c r="D10" i="8" l="1"/>
  <c r="B9" i="8"/>
  <c r="D9" i="8" s="1"/>
  <c r="B14" i="8" a="1"/>
  <c r="B11" i="8"/>
  <c r="D11" i="8" s="1"/>
  <c r="B11" i="7"/>
  <c r="F16" i="7" a="1"/>
  <c r="F16" i="7" s="1"/>
  <c r="D10" i="7"/>
  <c r="D10" i="6"/>
  <c r="D9" i="2"/>
  <c r="C16" i="8" l="1"/>
  <c r="B14" i="8"/>
  <c r="D15" i="8"/>
  <c r="B14" i="7" a="1"/>
  <c r="C11" i="7"/>
  <c r="D11" i="7" s="1"/>
  <c r="D9" i="7"/>
  <c r="B11" i="6"/>
  <c r="D9" i="6"/>
  <c r="C11" i="6"/>
  <c r="D15" i="3"/>
  <c r="C16" i="3"/>
  <c r="B16" i="3"/>
  <c r="D14" i="3"/>
  <c r="D10" i="3"/>
  <c r="C11" i="3"/>
  <c r="D10" i="2"/>
  <c r="B11" i="2"/>
  <c r="C11" i="2"/>
  <c r="B13" i="2"/>
  <c r="D16" i="3" l="1"/>
  <c r="D14" i="8"/>
  <c r="B16" i="8"/>
  <c r="D16" i="8" s="1"/>
  <c r="C16" i="7"/>
  <c r="B14" i="7"/>
  <c r="D15" i="7"/>
  <c r="C16" i="6"/>
  <c r="D15" i="6"/>
  <c r="D11" i="6"/>
  <c r="D9" i="3"/>
  <c r="B11" i="3"/>
  <c r="D11" i="3" s="1"/>
  <c r="D11" i="2"/>
  <c r="D18" i="8" l="1"/>
  <c r="D23" i="8"/>
  <c r="B16" i="7"/>
  <c r="D16" i="7" s="1"/>
  <c r="D18" i="7" s="1"/>
  <c r="D14" i="7"/>
  <c r="B16" i="6"/>
  <c r="D16" i="6" s="1"/>
  <c r="D14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<sst xmlns="http://schemas.openxmlformats.org/spreadsheetml/2006/main" count="135" uniqueCount="21">
  <si>
    <t>女性</t>
    <rPh sb="0" eb="2">
      <t>ジョセイ</t>
    </rPh>
    <phoneticPr fontId="2"/>
  </si>
  <si>
    <t>男性</t>
    <rPh sb="0" eb="2">
      <t>ダンセイ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</si>
  <si>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</si>
  <si>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</si>
  <si>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>合計</t>
    <rPh sb="0" eb="2">
      <t>ゴウケイ</t>
    </rPh>
    <phoneticPr fontId="2"/>
  </si>
  <si>
    <t>実測度数</t>
    <rPh sb="0" eb="2">
      <t>ジッソク</t>
    </rPh>
    <rPh sb="2" eb="4">
      <t>ドスウ</t>
    </rPh>
    <phoneticPr fontId="2"/>
  </si>
  <si>
    <t>P値</t>
    <rPh sb="1" eb="2">
      <t>チ</t>
    </rPh>
    <phoneticPr fontId="2"/>
  </si>
  <si>
    <t>性別と学歴の関係</t>
    <rPh sb="0" eb="2">
      <t>セイベツ</t>
    </rPh>
    <rPh sb="3" eb="5">
      <t>ガクレキ</t>
    </rPh>
    <rPh sb="6" eb="8">
      <t>カンケイ</t>
    </rPh>
    <phoneticPr fontId="2"/>
  </si>
  <si>
    <t>期待度数</t>
    <rPh sb="0" eb="2">
      <t>キタイ</t>
    </rPh>
    <rPh sb="2" eb="4">
      <t>ドスウ</t>
    </rPh>
    <phoneticPr fontId="2"/>
  </si>
  <si>
    <t>スピル機能で一気に計算</t>
    <rPh sb="3" eb="5">
      <t>キノウ</t>
    </rPh>
    <rPh sb="6" eb="8">
      <t>イッキ</t>
    </rPh>
    <rPh sb="9" eb="11">
      <t>ケイサン</t>
    </rPh>
    <phoneticPr fontId="2"/>
  </si>
  <si>
    <r>
      <t>χ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値</t>
    </r>
    <rPh sb="2" eb="3">
      <t>アタイ</t>
    </rPh>
    <phoneticPr fontId="2"/>
  </si>
  <si>
    <t>w</t>
    <phoneticPr fontId="2"/>
  </si>
  <si>
    <t>N</t>
    <phoneticPr fontId="2"/>
  </si>
  <si>
    <t>α</t>
    <phoneticPr fontId="2"/>
  </si>
  <si>
    <t>β</t>
    <phoneticPr fontId="2"/>
  </si>
  <si>
    <t>想定</t>
    <rPh sb="0" eb="2">
      <t>ソウテイ</t>
    </rPh>
    <phoneticPr fontId="2"/>
  </si>
  <si>
    <t>性別と学歴の関係（サンプルサイズ）</t>
    <rPh sb="0" eb="2">
      <t>セイベツ</t>
    </rPh>
    <rPh sb="3" eb="5">
      <t>ガクレキ</t>
    </rPh>
    <rPh sb="6" eb="8">
      <t>カンケイ</t>
    </rPh>
    <phoneticPr fontId="2"/>
  </si>
  <si>
    <t>期待</t>
    <rPh sb="0" eb="2">
      <t>キタイ</t>
    </rPh>
    <phoneticPr fontId="2"/>
  </si>
  <si>
    <r>
      <t>w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2"/>
  </si>
  <si>
    <r>
      <t>z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1-β</t>
    </r>
    <phoneticPr fontId="2"/>
  </si>
  <si>
    <r>
      <t>z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1-α</t>
    </r>
    <r>
      <rPr>
        <b/>
        <sz val="11"/>
        <color theme="1"/>
        <rFont val="游ゴシック"/>
        <family val="3"/>
        <charset val="128"/>
        <scheme val="minor"/>
      </rPr>
      <t>/2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</si>
</sst>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8" formatCode="0.000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vertAlign val="superscript"/>
      <sz val="11"/>
      <color theme="1"/>
      <name val="游ゴシック"/>
      <family val="3"/>
      <charset val="128"/>
      <scheme val="minor"/>
    </font>
    <font>
      <b/>
      <vertAlign val="subscript"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8" fontId="0" fillId="0" borderId="1" xfId="1" applyFon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38" fontId="0" fillId="0" borderId="2" xfId="1" applyFont="1" applyBorder="1">
      <alignment vertical="center"/>
    </xf>
    <xf numFmtId="0" fontId="0" fillId="0" borderId="3" xfId="0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38" fontId="0" fillId="0" borderId="5" xfId="1" applyFont="1" applyBorder="1">
      <alignment vertical="center"/>
    </xf>
    <xf numFmtId="38" fontId="0" fillId="0" borderId="4" xfId="1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Continuous" vertical="center"/>
    </xf>
    <xf numFmtId="178" fontId="0" fillId="0" borderId="5" xfId="1" applyNumberFormat="1" applyFont="1" applyBorder="1">
      <alignment vertical="center"/>
    </xf>
    <xf numFmtId="178" fontId="0" fillId="0" borderId="2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6" fontId="0" fillId="0" borderId="3" xfId="0" applyNumberFormat="1" applyBorder="1">
      <alignment vertical="center"/>
    </xf>
    <xf numFmtId="176" fontId="0" fillId="0" borderId="5" xfId="1" applyNumberFormat="1" applyFont="1" applyBorder="1">
      <alignment vertical="center"/>
    </xf>
    <xf numFmtId="176" fontId="0" fillId="0" borderId="2" xfId="1" applyNumberFormat="1" applyFont="1" applyBorder="1">
      <alignment vertical="center"/>
    </xf>
    <xf numFmtId="176" fontId="0" fillId="0" borderId="1" xfId="1" applyNumberFormat="1" applyFont="1" applyBorder="1">
      <alignment vertical="center"/>
    </xf>
    <xf numFmtId="176" fontId="0" fillId="0" borderId="4" xfId="1" applyNumberFormat="1" applyFont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0" fontId="0" fillId="0" borderId="2" xfId="1" applyNumberFormat="1" applyFont="1" applyBorder="1">
      <alignment vertical="center"/>
    </xf>
    <xf numFmtId="40" fontId="0" fillId="0" borderId="1" xfId="1" applyNumberFormat="1" applyFont="1" applyBorder="1">
      <alignment vertical="center"/>
    </xf>
    <xf numFmtId="40" fontId="0" fillId="0" borderId="5" xfId="1" applyNumberFormat="1" applyFont="1" applyBorder="1">
      <alignment vertical="center"/>
    </xf>
    <xf numFmtId="40" fontId="0" fillId="0" borderId="4" xfId="1" applyNumberFormat="1" applyFont="1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7" xfId="2" applyNumberFormat="1" applyFont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178" fontId="0" fillId="0" borderId="1" xfId="2" applyNumberFormat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47D8-A1C7-4FEA-9BF4-742593AE999A}">
  <dimension ref="A1:D13"/>
  <sheetViews>
    <sheetView tabSelected="1" workbookViewId="0">
      <selection activeCell="B9" sqref="B9"/>
    </sheetView>
  </sheetViews>
  <sheetFormatPr defaultRowHeight="17.649999999999999" x14ac:dyDescent="0.7"/>
  <sheetData>
    <row r="1" spans="1:4" x14ac:dyDescent="0.7">
      <c r="A1" s="17" t="s">
        <v>7</v>
      </c>
      <c r="B1" s="17"/>
      <c r="C1" s="17"/>
      <c r="D1" s="17"/>
    </row>
    <row r="3" spans="1:4" x14ac:dyDescent="0.7">
      <c r="A3" s="5" t="s">
        <v>5</v>
      </c>
      <c r="B3" s="7" t="s">
        <v>0</v>
      </c>
      <c r="C3" s="5" t="s">
        <v>1</v>
      </c>
      <c r="D3" s="10" t="s">
        <v>4</v>
      </c>
    </row>
    <row r="4" spans="1:4" x14ac:dyDescent="0.7">
      <c r="A4" s="2" t="s">
        <v>2</v>
      </c>
      <c r="B4" s="9">
        <v>93</v>
      </c>
      <c r="C4">
        <v>83</v>
      </c>
      <c r="D4" s="11">
        <f>SUM(B4:C4)</f>
        <v>176</v>
      </c>
    </row>
    <row r="5" spans="1:4" x14ac:dyDescent="0.7">
      <c r="A5" s="2" t="s">
        <v>3</v>
      </c>
      <c r="B5" s="9">
        <v>7</v>
      </c>
      <c r="C5">
        <v>17</v>
      </c>
      <c r="D5" s="11">
        <f t="shared" ref="D5:D6" si="0">SUM(B5:C5)</f>
        <v>24</v>
      </c>
    </row>
    <row r="6" spans="1:4" x14ac:dyDescent="0.7">
      <c r="A6" s="5" t="s">
        <v>4</v>
      </c>
      <c r="B6" s="8">
        <f>SUM(B4:B5)</f>
        <v>100</v>
      </c>
      <c r="C6" s="6">
        <f>SUM(C4:C5)</f>
        <v>100</v>
      </c>
      <c r="D6" s="12">
        <f t="shared" si="0"/>
        <v>200</v>
      </c>
    </row>
    <row r="8" spans="1:4" x14ac:dyDescent="0.7">
      <c r="A8" s="13" t="s">
        <v>8</v>
      </c>
      <c r="B8" s="14" t="s">
        <v>0</v>
      </c>
      <c r="C8" s="13" t="s">
        <v>1</v>
      </c>
      <c r="D8" s="15" t="s">
        <v>4</v>
      </c>
    </row>
    <row r="9" spans="1:4" x14ac:dyDescent="0.7">
      <c r="A9" s="3" t="s">
        <v>2</v>
      </c>
      <c r="B9" s="9"/>
      <c r="D9" s="11">
        <f>SUM(B9:C9)</f>
        <v>0</v>
      </c>
    </row>
    <row r="10" spans="1:4" x14ac:dyDescent="0.7">
      <c r="A10" s="3" t="s">
        <v>3</v>
      </c>
      <c r="B10" s="9"/>
      <c r="D10" s="11">
        <f t="shared" ref="D10:D11" si="1">SUM(B10:C10)</f>
        <v>0</v>
      </c>
    </row>
    <row r="11" spans="1:4" x14ac:dyDescent="0.7">
      <c r="A11" s="13" t="s">
        <v>4</v>
      </c>
      <c r="B11" s="8">
        <f>SUM(B9:B10)</f>
        <v>0</v>
      </c>
      <c r="C11" s="6">
        <f>SUM(C9:C10)</f>
        <v>0</v>
      </c>
      <c r="D11" s="12">
        <f t="shared" si="1"/>
        <v>0</v>
      </c>
    </row>
    <row r="13" spans="1:4" x14ac:dyDescent="0.7">
      <c r="A13" s="16" t="s">
        <v>6</v>
      </c>
      <c r="B13" s="4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514C-18E2-43EC-BF1E-B98D3FCAEC96}">
  <dimension ref="A1:D13"/>
  <sheetViews>
    <sheetView workbookViewId="0">
      <selection activeCell="B9" sqref="B9"/>
    </sheetView>
  </sheetViews>
  <sheetFormatPr defaultRowHeight="17.649999999999999" x14ac:dyDescent="0.7"/>
  <sheetData>
    <row r="1" spans="1:4" x14ac:dyDescent="0.7">
      <c r="A1" s="17" t="s">
        <v>7</v>
      </c>
      <c r="B1" s="17"/>
      <c r="C1" s="17"/>
      <c r="D1" s="17"/>
    </row>
    <row r="3" spans="1:4" x14ac:dyDescent="0.7">
      <c r="A3" s="5" t="s">
        <v>5</v>
      </c>
      <c r="B3" s="7" t="s">
        <v>0</v>
      </c>
      <c r="C3" s="5" t="s">
        <v>1</v>
      </c>
      <c r="D3" s="10" t="s">
        <v>4</v>
      </c>
    </row>
    <row r="4" spans="1:4" x14ac:dyDescent="0.7">
      <c r="A4" s="2" t="s">
        <v>2</v>
      </c>
      <c r="B4" s="9">
        <v>93</v>
      </c>
      <c r="C4">
        <v>83</v>
      </c>
      <c r="D4" s="11">
        <f>SUM(B4:C4)</f>
        <v>176</v>
      </c>
    </row>
    <row r="5" spans="1:4" x14ac:dyDescent="0.7">
      <c r="A5" s="2" t="s">
        <v>3</v>
      </c>
      <c r="B5" s="9">
        <v>7</v>
      </c>
      <c r="C5">
        <v>17</v>
      </c>
      <c r="D5" s="11">
        <f t="shared" ref="D5:D6" si="0">SUM(B5:C5)</f>
        <v>24</v>
      </c>
    </row>
    <row r="6" spans="1:4" x14ac:dyDescent="0.7">
      <c r="A6" s="5" t="s">
        <v>4</v>
      </c>
      <c r="B6" s="8">
        <f>SUM(B4:B5)</f>
        <v>100</v>
      </c>
      <c r="C6" s="6">
        <f>SUM(C4:C5)</f>
        <v>100</v>
      </c>
      <c r="D6" s="12">
        <f t="shared" si="0"/>
        <v>200</v>
      </c>
    </row>
    <row r="8" spans="1:4" x14ac:dyDescent="0.7">
      <c r="A8" s="13" t="s">
        <v>8</v>
      </c>
      <c r="B8" s="14" t="s">
        <v>0</v>
      </c>
      <c r="C8" s="13" t="s">
        <v>1</v>
      </c>
      <c r="D8" s="15" t="s">
        <v>4</v>
      </c>
    </row>
    <row r="9" spans="1:4" x14ac:dyDescent="0.7">
      <c r="A9" s="3" t="s">
        <v>2</v>
      </c>
      <c r="B9" s="9" cm="1">
        <f t="array" ref="B9:C10">B6:C6*D4:D5/D6</f>
        <v>88</v>
      </c>
      <c r="C9">
        <v>88</v>
      </c>
      <c r="D9" s="11">
        <f>SUM(B9:C9)</f>
        <v>176</v>
      </c>
    </row>
    <row r="10" spans="1:4" x14ac:dyDescent="0.7">
      <c r="A10" s="3" t="s">
        <v>3</v>
      </c>
      <c r="B10" s="9">
        <v>12</v>
      </c>
      <c r="C10">
        <v>12</v>
      </c>
      <c r="D10" s="11">
        <f t="shared" ref="D10:D11" si="1">SUM(B10:C10)</f>
        <v>24</v>
      </c>
    </row>
    <row r="11" spans="1:4" x14ac:dyDescent="0.7">
      <c r="A11" s="13" t="s">
        <v>4</v>
      </c>
      <c r="B11" s="8">
        <f>SUM(B9:B10)</f>
        <v>100</v>
      </c>
      <c r="C11" s="6">
        <f>SUM(C9:C10)</f>
        <v>100</v>
      </c>
      <c r="D11" s="12">
        <f t="shared" si="1"/>
        <v>200</v>
      </c>
    </row>
    <row r="13" spans="1:4" x14ac:dyDescent="0.7">
      <c r="A13" s="16" t="s">
        <v>6</v>
      </c>
      <c r="B13" s="41">
        <f>_xlfn.CHISQ.TEST(B4:C5,B9:C10)</f>
        <v>2.9557451560151691E-2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682B-D807-4019-B414-C234CE54A040}">
  <dimension ref="A1:D18"/>
  <sheetViews>
    <sheetView workbookViewId="0">
      <selection activeCell="B14" sqref="B14"/>
    </sheetView>
  </sheetViews>
  <sheetFormatPr defaultRowHeight="17.649999999999999" x14ac:dyDescent="0.7"/>
  <cols>
    <col min="9" max="9" width="9.375" bestFit="1" customWidth="1"/>
  </cols>
  <sheetData>
    <row r="1" spans="1:4" x14ac:dyDescent="0.7">
      <c r="A1" s="17" t="s">
        <v>7</v>
      </c>
      <c r="B1" s="17"/>
      <c r="C1" s="17"/>
      <c r="D1" s="17"/>
    </row>
    <row r="3" spans="1:4" x14ac:dyDescent="0.7">
      <c r="A3" s="5" t="s">
        <v>5</v>
      </c>
      <c r="B3" s="7" t="s">
        <v>0</v>
      </c>
      <c r="C3" s="5" t="s">
        <v>1</v>
      </c>
      <c r="D3" s="10" t="s">
        <v>4</v>
      </c>
    </row>
    <row r="4" spans="1:4" x14ac:dyDescent="0.7">
      <c r="A4" s="2" t="s">
        <v>2</v>
      </c>
      <c r="B4" s="9">
        <v>93</v>
      </c>
      <c r="C4">
        <v>83</v>
      </c>
      <c r="D4" s="11">
        <f>SUM(B4:C4)</f>
        <v>176</v>
      </c>
    </row>
    <row r="5" spans="1:4" x14ac:dyDescent="0.7">
      <c r="A5" s="2" t="s">
        <v>3</v>
      </c>
      <c r="B5" s="9">
        <v>7</v>
      </c>
      <c r="C5">
        <v>17</v>
      </c>
      <c r="D5" s="11">
        <f t="shared" ref="D5:D6" si="0">SUM(B5:C5)</f>
        <v>24</v>
      </c>
    </row>
    <row r="6" spans="1:4" x14ac:dyDescent="0.7">
      <c r="A6" s="5" t="s">
        <v>4</v>
      </c>
      <c r="B6" s="8">
        <f>SUM(B4:B5)</f>
        <v>100</v>
      </c>
      <c r="C6" s="6">
        <f>SUM(C4:C5)</f>
        <v>100</v>
      </c>
      <c r="D6" s="12">
        <f t="shared" si="0"/>
        <v>200</v>
      </c>
    </row>
    <row r="8" spans="1:4" x14ac:dyDescent="0.7">
      <c r="A8" s="13" t="s">
        <v>8</v>
      </c>
      <c r="B8" s="14" t="s">
        <v>0</v>
      </c>
      <c r="C8" s="13" t="s">
        <v>1</v>
      </c>
      <c r="D8" s="15" t="s">
        <v>4</v>
      </c>
    </row>
    <row r="9" spans="1:4" x14ac:dyDescent="0.7">
      <c r="A9" s="3" t="s">
        <v>2</v>
      </c>
      <c r="B9" s="9" cm="1">
        <f t="array" ref="B9:C10">B6:C6*D4:D5/D6</f>
        <v>88</v>
      </c>
      <c r="C9">
        <v>88</v>
      </c>
      <c r="D9" s="11">
        <f>SUM(B9:C9)</f>
        <v>176</v>
      </c>
    </row>
    <row r="10" spans="1:4" x14ac:dyDescent="0.7">
      <c r="A10" s="3" t="s">
        <v>3</v>
      </c>
      <c r="B10" s="9">
        <v>12</v>
      </c>
      <c r="C10">
        <v>12</v>
      </c>
      <c r="D10" s="11">
        <f t="shared" ref="D10:D11" si="1">SUM(B10:C10)</f>
        <v>24</v>
      </c>
    </row>
    <row r="11" spans="1:4" x14ac:dyDescent="0.7">
      <c r="A11" s="13" t="s">
        <v>4</v>
      </c>
      <c r="B11" s="8">
        <f>SUM(B9:B10)</f>
        <v>100</v>
      </c>
      <c r="C11" s="6">
        <f>SUM(C9:C10)</f>
        <v>100</v>
      </c>
      <c r="D11" s="12">
        <f t="shared" si="1"/>
        <v>200</v>
      </c>
    </row>
    <row r="13" spans="1:4" ht="19.149999999999999" x14ac:dyDescent="0.7">
      <c r="A13" s="16" t="s">
        <v>10</v>
      </c>
      <c r="B13" s="27" t="s">
        <v>0</v>
      </c>
      <c r="C13" s="16" t="s">
        <v>1</v>
      </c>
      <c r="D13" s="28" t="s">
        <v>4</v>
      </c>
    </row>
    <row r="14" spans="1:4" x14ac:dyDescent="0.7">
      <c r="A14" s="4" t="s">
        <v>2</v>
      </c>
      <c r="B14" s="22"/>
      <c r="C14" s="1"/>
      <c r="D14" s="23">
        <f>SUM(B14:C14)</f>
        <v>0</v>
      </c>
    </row>
    <row r="15" spans="1:4" x14ac:dyDescent="0.7">
      <c r="A15" s="4" t="s">
        <v>3</v>
      </c>
      <c r="B15" s="22"/>
      <c r="C15" s="1"/>
      <c r="D15" s="23">
        <f t="shared" ref="D15:D16" si="2">SUM(B15:C15)</f>
        <v>0</v>
      </c>
    </row>
    <row r="16" spans="1:4" x14ac:dyDescent="0.7">
      <c r="A16" s="16" t="s">
        <v>4</v>
      </c>
      <c r="B16" s="24">
        <f>SUM(B14:B15)</f>
        <v>0</v>
      </c>
      <c r="C16" s="25">
        <f>SUM(C14:C15)</f>
        <v>0</v>
      </c>
      <c r="D16" s="26">
        <f t="shared" si="2"/>
        <v>0</v>
      </c>
    </row>
    <row r="18" spans="3:4" x14ac:dyDescent="0.7">
      <c r="C18" s="29" t="s">
        <v>6</v>
      </c>
      <c r="D18" s="4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EC85-2259-44C9-A743-339B5D2F012A}">
  <dimension ref="A1:F18"/>
  <sheetViews>
    <sheetView workbookViewId="0">
      <selection activeCell="B14" sqref="B14"/>
    </sheetView>
  </sheetViews>
  <sheetFormatPr defaultRowHeight="17.649999999999999" x14ac:dyDescent="0.7"/>
  <cols>
    <col min="9" max="9" width="9.375" bestFit="1" customWidth="1"/>
  </cols>
  <sheetData>
    <row r="1" spans="1:6" x14ac:dyDescent="0.7">
      <c r="A1" s="17" t="s">
        <v>7</v>
      </c>
      <c r="B1" s="17"/>
      <c r="C1" s="17"/>
      <c r="D1" s="17"/>
    </row>
    <row r="3" spans="1:6" x14ac:dyDescent="0.7">
      <c r="A3" s="5" t="s">
        <v>5</v>
      </c>
      <c r="B3" s="7" t="s">
        <v>0</v>
      </c>
      <c r="C3" s="5" t="s">
        <v>1</v>
      </c>
      <c r="D3" s="10" t="s">
        <v>4</v>
      </c>
    </row>
    <row r="4" spans="1:6" x14ac:dyDescent="0.7">
      <c r="A4" s="2" t="s">
        <v>2</v>
      </c>
      <c r="B4" s="9">
        <v>93</v>
      </c>
      <c r="C4">
        <v>83</v>
      </c>
      <c r="D4" s="11">
        <f>SUM(B4:C4)</f>
        <v>176</v>
      </c>
    </row>
    <row r="5" spans="1:6" x14ac:dyDescent="0.7">
      <c r="A5" s="2" t="s">
        <v>3</v>
      </c>
      <c r="B5" s="9">
        <v>7</v>
      </c>
      <c r="C5">
        <v>17</v>
      </c>
      <c r="D5" s="11">
        <f t="shared" ref="D5:D6" si="0">SUM(B5:C5)</f>
        <v>24</v>
      </c>
    </row>
    <row r="6" spans="1:6" x14ac:dyDescent="0.7">
      <c r="A6" s="5" t="s">
        <v>4</v>
      </c>
      <c r="B6" s="8">
        <f>SUM(B4:B5)</f>
        <v>100</v>
      </c>
      <c r="C6" s="6">
        <f>SUM(C4:C5)</f>
        <v>100</v>
      </c>
      <c r="D6" s="12">
        <f t="shared" si="0"/>
        <v>200</v>
      </c>
    </row>
    <row r="8" spans="1:6" x14ac:dyDescent="0.7">
      <c r="A8" s="13" t="s">
        <v>8</v>
      </c>
      <c r="B8" s="14" t="s">
        <v>0</v>
      </c>
      <c r="C8" s="13" t="s">
        <v>1</v>
      </c>
      <c r="D8" s="15" t="s">
        <v>4</v>
      </c>
    </row>
    <row r="9" spans="1:6" x14ac:dyDescent="0.7">
      <c r="A9" s="3" t="s">
        <v>2</v>
      </c>
      <c r="B9" s="9" cm="1">
        <f t="array" ref="B9:C10">B6:C6*D4:D5/D6</f>
        <v>88</v>
      </c>
      <c r="C9">
        <v>88</v>
      </c>
      <c r="D9" s="11">
        <f>SUM(B9:C9)</f>
        <v>176</v>
      </c>
    </row>
    <row r="10" spans="1:6" x14ac:dyDescent="0.7">
      <c r="A10" s="3" t="s">
        <v>3</v>
      </c>
      <c r="B10" s="9">
        <v>12</v>
      </c>
      <c r="C10">
        <v>12</v>
      </c>
      <c r="D10" s="11">
        <f t="shared" ref="D10:D11" si="1">SUM(B10:C10)</f>
        <v>24</v>
      </c>
    </row>
    <row r="11" spans="1:6" x14ac:dyDescent="0.7">
      <c r="A11" s="13" t="s">
        <v>4</v>
      </c>
      <c r="B11" s="8">
        <f>SUM(B9:B10)</f>
        <v>100</v>
      </c>
      <c r="C11" s="6">
        <f>SUM(C9:C10)</f>
        <v>100</v>
      </c>
      <c r="D11" s="12">
        <f t="shared" si="1"/>
        <v>200</v>
      </c>
    </row>
    <row r="13" spans="1:6" ht="19.149999999999999" x14ac:dyDescent="0.7">
      <c r="A13" s="16" t="s">
        <v>10</v>
      </c>
      <c r="B13" s="27" t="s">
        <v>0</v>
      </c>
      <c r="C13" s="16" t="s">
        <v>1</v>
      </c>
      <c r="D13" s="28" t="s">
        <v>4</v>
      </c>
    </row>
    <row r="14" spans="1:6" x14ac:dyDescent="0.7">
      <c r="A14" s="4" t="s">
        <v>2</v>
      </c>
      <c r="B14" s="22" cm="1">
        <f t="array" ref="B14:C15">(B4:C5-B9:C10)^2/B9:C10</f>
        <v>0.28409090909090912</v>
      </c>
      <c r="C14" s="1">
        <v>0.28409090909090912</v>
      </c>
      <c r="D14" s="23">
        <f>SUM(B14:C14)</f>
        <v>0.56818181818181823</v>
      </c>
    </row>
    <row r="15" spans="1:6" x14ac:dyDescent="0.7">
      <c r="A15" s="4" t="s">
        <v>3</v>
      </c>
      <c r="B15" s="22">
        <v>2.0833333333333335</v>
      </c>
      <c r="C15" s="1">
        <v>2.0833333333333335</v>
      </c>
      <c r="D15" s="23">
        <f t="shared" ref="D15:D16" si="2">SUM(B15:C15)</f>
        <v>4.166666666666667</v>
      </c>
      <c r="F15" s="40" t="s">
        <v>9</v>
      </c>
    </row>
    <row r="16" spans="1:6" x14ac:dyDescent="0.7">
      <c r="A16" s="16" t="s">
        <v>4</v>
      </c>
      <c r="B16" s="24">
        <f>SUM(B14:B15)</f>
        <v>2.3674242424242427</v>
      </c>
      <c r="C16" s="25">
        <f>SUM(C14:C15)</f>
        <v>2.3674242424242427</v>
      </c>
      <c r="D16" s="26">
        <f t="shared" si="2"/>
        <v>4.7348484848484853</v>
      </c>
      <c r="F16" s="1" cm="1">
        <f t="array" ref="F16">SUM((B4:C5-B9:C10)^2/B9:C10)</f>
        <v>4.7348484848484853</v>
      </c>
    </row>
    <row r="18" spans="3:4" x14ac:dyDescent="0.7">
      <c r="C18" s="29" t="s">
        <v>6</v>
      </c>
      <c r="D18" s="41">
        <f>_xlfn.CHISQ.DIST.RT(D16,1)</f>
        <v>2.9557451560151691E-2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01E2-EBA3-42F2-B62A-E6BCBCE46542}">
  <dimension ref="A1:D23"/>
  <sheetViews>
    <sheetView workbookViewId="0">
      <selection activeCell="B9" sqref="B9"/>
    </sheetView>
  </sheetViews>
  <sheetFormatPr defaultRowHeight="17.649999999999999" x14ac:dyDescent="0.7"/>
  <cols>
    <col min="4" max="4" width="9.375" bestFit="1" customWidth="1"/>
  </cols>
  <sheetData>
    <row r="1" spans="1:4" x14ac:dyDescent="0.7">
      <c r="A1" s="17" t="s">
        <v>16</v>
      </c>
      <c r="B1" s="17"/>
      <c r="C1" s="17"/>
      <c r="D1" s="17"/>
    </row>
    <row r="3" spans="1:4" x14ac:dyDescent="0.7">
      <c r="A3" s="5" t="s">
        <v>15</v>
      </c>
      <c r="B3" s="7" t="s">
        <v>0</v>
      </c>
      <c r="C3" s="5" t="s">
        <v>1</v>
      </c>
      <c r="D3" s="10" t="s">
        <v>4</v>
      </c>
    </row>
    <row r="4" spans="1:4" x14ac:dyDescent="0.7">
      <c r="A4" s="2" t="s">
        <v>2</v>
      </c>
      <c r="B4" s="9">
        <v>0.47</v>
      </c>
      <c r="C4">
        <v>0.4</v>
      </c>
      <c r="D4" s="32">
        <f>SUM(B4:C4)</f>
        <v>0.87</v>
      </c>
    </row>
    <row r="5" spans="1:4" x14ac:dyDescent="0.7">
      <c r="A5" s="2" t="s">
        <v>3</v>
      </c>
      <c r="B5" s="9">
        <v>0.03</v>
      </c>
      <c r="C5">
        <v>0.1</v>
      </c>
      <c r="D5" s="32">
        <f t="shared" ref="D5:D6" si="0">SUM(B5:C5)</f>
        <v>0.13</v>
      </c>
    </row>
    <row r="6" spans="1:4" x14ac:dyDescent="0.7">
      <c r="A6" s="5" t="s">
        <v>4</v>
      </c>
      <c r="B6" s="30">
        <f>SUM(B4:B5)</f>
        <v>0.5</v>
      </c>
      <c r="C6" s="31">
        <f>SUM(C4:C5)</f>
        <v>0.5</v>
      </c>
      <c r="D6" s="33">
        <f t="shared" si="0"/>
        <v>1</v>
      </c>
    </row>
    <row r="8" spans="1:4" x14ac:dyDescent="0.7">
      <c r="A8" s="13" t="s">
        <v>17</v>
      </c>
      <c r="B8" s="14" t="s">
        <v>0</v>
      </c>
      <c r="C8" s="13" t="s">
        <v>1</v>
      </c>
      <c r="D8" s="15" t="s">
        <v>4</v>
      </c>
    </row>
    <row r="9" spans="1:4" x14ac:dyDescent="0.7">
      <c r="A9" s="3" t="s">
        <v>2</v>
      </c>
      <c r="B9" s="9"/>
      <c r="D9" s="32">
        <f>SUM(B9:C9)</f>
        <v>0</v>
      </c>
    </row>
    <row r="10" spans="1:4" x14ac:dyDescent="0.7">
      <c r="A10" s="3" t="s">
        <v>3</v>
      </c>
      <c r="B10" s="9"/>
      <c r="D10" s="32">
        <f t="shared" ref="D10:D11" si="1">SUM(B10:C10)</f>
        <v>0</v>
      </c>
    </row>
    <row r="11" spans="1:4" x14ac:dyDescent="0.7">
      <c r="A11" s="13" t="s">
        <v>4</v>
      </c>
      <c r="B11" s="30">
        <f>SUM(B9:B10)</f>
        <v>0</v>
      </c>
      <c r="C11" s="31">
        <f>SUM(C9:C10)</f>
        <v>0</v>
      </c>
      <c r="D11" s="33">
        <f t="shared" si="1"/>
        <v>0</v>
      </c>
    </row>
    <row r="13" spans="1:4" ht="19.149999999999999" x14ac:dyDescent="0.7">
      <c r="A13" s="16" t="s">
        <v>18</v>
      </c>
      <c r="B13" s="27" t="s">
        <v>0</v>
      </c>
      <c r="C13" s="16" t="s">
        <v>1</v>
      </c>
      <c r="D13" s="28" t="s">
        <v>4</v>
      </c>
    </row>
    <row r="14" spans="1:4" x14ac:dyDescent="0.7">
      <c r="A14" s="4" t="s">
        <v>2</v>
      </c>
      <c r="B14" s="22"/>
      <c r="C14" s="1"/>
      <c r="D14" s="18">
        <f>SUM(B14:C14)</f>
        <v>0</v>
      </c>
    </row>
    <row r="15" spans="1:4" x14ac:dyDescent="0.7">
      <c r="A15" s="4" t="s">
        <v>3</v>
      </c>
      <c r="B15" s="22"/>
      <c r="C15" s="1"/>
      <c r="D15" s="18">
        <f t="shared" ref="D15:D16" si="2">SUM(B15:C15)</f>
        <v>0</v>
      </c>
    </row>
    <row r="16" spans="1:4" x14ac:dyDescent="0.7">
      <c r="A16" s="16" t="s">
        <v>4</v>
      </c>
      <c r="B16" s="19">
        <f>SUM(B14:B15)</f>
        <v>0</v>
      </c>
      <c r="C16" s="20">
        <f>SUM(C14:C15)</f>
        <v>0</v>
      </c>
      <c r="D16" s="21">
        <f t="shared" si="2"/>
        <v>0</v>
      </c>
    </row>
    <row r="18" spans="3:4" x14ac:dyDescent="0.7">
      <c r="C18" s="35" t="s">
        <v>11</v>
      </c>
      <c r="D18" s="36"/>
    </row>
    <row r="19" spans="3:4" x14ac:dyDescent="0.7">
      <c r="C19" s="34" t="s">
        <v>13</v>
      </c>
      <c r="D19">
        <v>0.01</v>
      </c>
    </row>
    <row r="20" spans="3:4" x14ac:dyDescent="0.7">
      <c r="C20" s="34" t="s">
        <v>14</v>
      </c>
      <c r="D20">
        <v>0.9</v>
      </c>
    </row>
    <row r="21" spans="3:4" ht="19.149999999999999" x14ac:dyDescent="0.7">
      <c r="C21" s="34" t="s">
        <v>20</v>
      </c>
    </row>
    <row r="22" spans="3:4" ht="19.149999999999999" x14ac:dyDescent="0.7">
      <c r="C22" s="37" t="s">
        <v>19</v>
      </c>
      <c r="D22" s="38"/>
    </row>
    <row r="23" spans="3:4" x14ac:dyDescent="0.7">
      <c r="C23" s="29" t="s">
        <v>12</v>
      </c>
      <c r="D23" s="39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337A-7500-435A-A8A7-40F087820464}">
  <dimension ref="A1:D23"/>
  <sheetViews>
    <sheetView workbookViewId="0">
      <selection activeCell="B9" sqref="B9"/>
    </sheetView>
  </sheetViews>
  <sheetFormatPr defaultRowHeight="17.649999999999999" x14ac:dyDescent="0.7"/>
  <cols>
    <col min="4" max="4" width="9.375" bestFit="1" customWidth="1"/>
  </cols>
  <sheetData>
    <row r="1" spans="1:4" x14ac:dyDescent="0.7">
      <c r="A1" s="17" t="s">
        <v>16</v>
      </c>
      <c r="B1" s="17"/>
      <c r="C1" s="17"/>
      <c r="D1" s="17"/>
    </row>
    <row r="3" spans="1:4" x14ac:dyDescent="0.7">
      <c r="A3" s="5" t="s">
        <v>15</v>
      </c>
      <c r="B3" s="7" t="s">
        <v>0</v>
      </c>
      <c r="C3" s="5" t="s">
        <v>1</v>
      </c>
      <c r="D3" s="10" t="s">
        <v>4</v>
      </c>
    </row>
    <row r="4" spans="1:4" x14ac:dyDescent="0.7">
      <c r="A4" s="2" t="s">
        <v>2</v>
      </c>
      <c r="B4" s="9">
        <v>0.47</v>
      </c>
      <c r="C4">
        <v>0.4</v>
      </c>
      <c r="D4" s="32">
        <f>SUM(B4:C4)</f>
        <v>0.87</v>
      </c>
    </row>
    <row r="5" spans="1:4" x14ac:dyDescent="0.7">
      <c r="A5" s="2" t="s">
        <v>3</v>
      </c>
      <c r="B5" s="9">
        <v>0.03</v>
      </c>
      <c r="C5">
        <v>0.1</v>
      </c>
      <c r="D5" s="32">
        <f t="shared" ref="D5:D6" si="0">SUM(B5:C5)</f>
        <v>0.13</v>
      </c>
    </row>
    <row r="6" spans="1:4" x14ac:dyDescent="0.7">
      <c r="A6" s="5" t="s">
        <v>4</v>
      </c>
      <c r="B6" s="30">
        <f>SUM(B4:B5)</f>
        <v>0.5</v>
      </c>
      <c r="C6" s="31">
        <f>SUM(C4:C5)</f>
        <v>0.5</v>
      </c>
      <c r="D6" s="33">
        <f t="shared" si="0"/>
        <v>1</v>
      </c>
    </row>
    <row r="8" spans="1:4" x14ac:dyDescent="0.7">
      <c r="A8" s="13" t="s">
        <v>17</v>
      </c>
      <c r="B8" s="14" t="s">
        <v>0</v>
      </c>
      <c r="C8" s="13" t="s">
        <v>1</v>
      </c>
      <c r="D8" s="15" t="s">
        <v>4</v>
      </c>
    </row>
    <row r="9" spans="1:4" x14ac:dyDescent="0.7">
      <c r="A9" s="3" t="s">
        <v>2</v>
      </c>
      <c r="B9" s="9" cm="1">
        <f t="array" ref="B9:C10">B6:C6*D4:D5/D6</f>
        <v>0.435</v>
      </c>
      <c r="C9">
        <v>0.435</v>
      </c>
      <c r="D9" s="32">
        <f>SUM(B9:C9)</f>
        <v>0.87</v>
      </c>
    </row>
    <row r="10" spans="1:4" x14ac:dyDescent="0.7">
      <c r="A10" s="3" t="s">
        <v>3</v>
      </c>
      <c r="B10" s="9">
        <v>6.5000000000000002E-2</v>
      </c>
      <c r="C10">
        <v>6.5000000000000002E-2</v>
      </c>
      <c r="D10" s="32">
        <f t="shared" ref="D10:D11" si="1">SUM(B10:C10)</f>
        <v>0.13</v>
      </c>
    </row>
    <row r="11" spans="1:4" x14ac:dyDescent="0.7">
      <c r="A11" s="13" t="s">
        <v>4</v>
      </c>
      <c r="B11" s="30">
        <f>SUM(B9:B10)</f>
        <v>0.5</v>
      </c>
      <c r="C11" s="31">
        <f>SUM(C9:C10)</f>
        <v>0.5</v>
      </c>
      <c r="D11" s="33">
        <f t="shared" si="1"/>
        <v>1</v>
      </c>
    </row>
    <row r="13" spans="1:4" ht="19.149999999999999" x14ac:dyDescent="0.7">
      <c r="A13" s="16" t="s">
        <v>18</v>
      </c>
      <c r="B13" s="27" t="s">
        <v>0</v>
      </c>
      <c r="C13" s="16" t="s">
        <v>1</v>
      </c>
      <c r="D13" s="28" t="s">
        <v>4</v>
      </c>
    </row>
    <row r="14" spans="1:4" x14ac:dyDescent="0.7">
      <c r="A14" s="4" t="s">
        <v>2</v>
      </c>
      <c r="B14" s="22" cm="1">
        <f t="array" ref="B14:C15">(B4:C5-B9:C10)^2/B9:C10</f>
        <v>2.8160919540229845E-3</v>
      </c>
      <c r="C14" s="1">
        <v>2.8160919540229845E-3</v>
      </c>
      <c r="D14" s="18">
        <f>SUM(B14:C14)</f>
        <v>5.632183908045969E-3</v>
      </c>
    </row>
    <row r="15" spans="1:4" x14ac:dyDescent="0.7">
      <c r="A15" s="4" t="s">
        <v>3</v>
      </c>
      <c r="B15" s="22">
        <v>1.8846153846153849E-2</v>
      </c>
      <c r="C15" s="1">
        <v>1.8846153846153849E-2</v>
      </c>
      <c r="D15" s="18">
        <f t="shared" ref="D15:D16" si="2">SUM(B15:C15)</f>
        <v>3.7692307692307699E-2</v>
      </c>
    </row>
    <row r="16" spans="1:4" x14ac:dyDescent="0.7">
      <c r="A16" s="16" t="s">
        <v>4</v>
      </c>
      <c r="B16" s="19">
        <f>SUM(B14:B15)</f>
        <v>2.1662245800176835E-2</v>
      </c>
      <c r="C16" s="20">
        <f>SUM(C14:C15)</f>
        <v>2.1662245800176835E-2</v>
      </c>
      <c r="D16" s="21">
        <f t="shared" si="2"/>
        <v>4.3324491600353669E-2</v>
      </c>
    </row>
    <row r="18" spans="3:4" x14ac:dyDescent="0.7">
      <c r="C18" s="35" t="s">
        <v>11</v>
      </c>
      <c r="D18" s="36">
        <f>SQRT(D16/D11)</f>
        <v>0.20814536170751841</v>
      </c>
    </row>
    <row r="19" spans="3:4" x14ac:dyDescent="0.7">
      <c r="C19" s="34" t="s">
        <v>13</v>
      </c>
      <c r="D19">
        <v>0.05</v>
      </c>
    </row>
    <row r="20" spans="3:4" x14ac:dyDescent="0.7">
      <c r="C20" s="34" t="s">
        <v>14</v>
      </c>
      <c r="D20">
        <v>0.8</v>
      </c>
    </row>
    <row r="21" spans="3:4" ht="19.149999999999999" x14ac:dyDescent="0.7">
      <c r="C21" s="34" t="s">
        <v>20</v>
      </c>
      <c r="D21">
        <f>_xlfn.NORM.S.INV(1-D19/2)</f>
        <v>1.9599639845400536</v>
      </c>
    </row>
    <row r="22" spans="3:4" ht="19.149999999999999" x14ac:dyDescent="0.7">
      <c r="C22" s="37" t="s">
        <v>19</v>
      </c>
      <c r="D22" s="38">
        <f>_xlfn.NORM.S.INV(D20)</f>
        <v>0.84162123357291474</v>
      </c>
    </row>
    <row r="23" spans="3:4" x14ac:dyDescent="0.7">
      <c r="C23" s="29" t="s">
        <v>12</v>
      </c>
      <c r="D23" s="39">
        <f>ROUNDUP((D21+D22)^2/D16,0)</f>
        <v>182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独立性の検定</vt:lpstr>
      <vt:lpstr>独立性の検定 (作成例)</vt:lpstr>
      <vt:lpstr>独立性の検定 (定義通りに計算)</vt:lpstr>
      <vt:lpstr>独立性の検定 (定義通りに計算・作成例)</vt:lpstr>
      <vt:lpstr>サンプルサイズ (z近似)</vt:lpstr>
      <vt:lpstr>サンプルサイズ (z近似・作成例)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2025-11-09T22:42:56Z</dcterms:created>
  <dcterms:modified xsi:type="dcterms:W3CDTF">2025-11-10T23:38:18Z</dcterms:modified>
</cp:coreProperties>
</file>