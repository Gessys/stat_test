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s-h\Documents\サンプル\"/>
    </mc:Choice>
  </mc:AlternateContent>
  <xr:revisionPtr revIDLastSave="0" documentId="13_ncr:1_{C9475FD0-0728-4253-8D1D-CB49CC7334B9}" xr6:coauthVersionLast="47" xr6:coauthVersionMax="47" xr10:uidLastSave="{00000000-0000-0000-0000-000000000000}"/>
  <bookViews>
    <workbookView xWindow="10245" yWindow="1508" windowWidth="28170" windowHeight="15045" xr2:uid="{F57CBF7E-E72F-43B5-A695-BBC8B02B60D4}"/>
  </bookViews>
  <sheets>
    <sheet name="スピアマン順位相関検定" sheetId="6" r:id="rId1"/>
    <sheet name="スピアマン順位相関検定 (作成例)" sheetId="5" r:id="rId2"/>
  </sheets>
  <definedNames>
    <definedName name="RMSE">_xlfn.LAMBDA(_xlpm.a,_xlpm.b,_xlpm.x,_xlpm.y,SQRT(SUM(((_xlpm.a*_xlpm.x+_xlpm.b)-_xlpm.y)^2)/COUNT(_xlpm.y)))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5" l="1"/>
  <c r="E4" i="5" a="1"/>
  <c r="E4" i="5" s="1"/>
  <c r="D4" i="5" a="1"/>
  <c r="D4" i="5" s="1"/>
  <c r="H3" i="5" l="1"/>
  <c r="H6" i="5" s="1"/>
  <c r="H7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<sst xmlns="http://schemas.openxmlformats.org/spreadsheetml/2006/main" count="22" uniqueCount="11">
  <si>
    <t>p</t>
    <phoneticPr fontId="1"/>
  </si>
  <si>
    <t>評価の平均</t>
    <rPh sb="0" eb="2">
      <t>ヒョウカ</t>
    </rPh>
    <rPh sb="3" eb="5">
      <t>ヘイキン</t>
    </rPh>
    <phoneticPr fontId="1"/>
  </si>
  <si>
    <t>待ち時間（分）</t>
    <phoneticPr fontId="1"/>
  </si>
  <si>
    <t>待ち時間の順位</t>
    <rPh sb="0" eb="1">
      <t>マ</t>
    </rPh>
    <rPh sb="2" eb="4">
      <t>ジカン</t>
    </rPh>
    <rPh sb="5" eb="7">
      <t>ジュンイ</t>
    </rPh>
    <phoneticPr fontId="1"/>
  </si>
  <si>
    <t>評価の順位</t>
    <rPh sb="0" eb="2">
      <t>ヒョウカ</t>
    </rPh>
    <rPh sb="3" eb="5">
      <t>ジュンイ</t>
    </rPh>
    <phoneticPr fontId="1"/>
  </si>
  <si>
    <t>順位相関</t>
    <rPh sb="0" eb="2">
      <t>ジュンイ</t>
    </rPh>
    <rPh sb="2" eb="4">
      <t>ソウカン</t>
    </rPh>
    <phoneticPr fontId="1"/>
  </si>
  <si>
    <t>T</t>
    <phoneticPr fontId="1"/>
  </si>
  <si>
    <t>n</t>
    <phoneticPr fontId="1"/>
  </si>
  <si>
    <t>ラーメン店の待ち時間と評価の相関（スピアマンの順位相関）</t>
    <rPh sb="4" eb="5">
      <t>テン</t>
    </rPh>
    <rPh sb="6" eb="7">
      <t>マ</t>
    </rPh>
    <rPh sb="8" eb="10">
      <t>ジカン</t>
    </rPh>
    <rPh sb="11" eb="13">
      <t>ヒョウカ</t>
    </rPh>
    <rPh sb="14" eb="16">
      <t>ソウカン</t>
    </rPh>
    <rPh sb="23" eb="25">
      <t>ジュンイ</t>
    </rPh>
    <rPh sb="25" eb="27">
      <t>ソウカン</t>
    </rPh>
    <phoneticPr fontId="1"/>
  </si>
  <si>
    <t>No．</t>
    <phoneticPr fontId="1"/>
  </si>
  <si>
    <t>順位相関の検定</t>
    <rPh sb="0" eb="2">
      <t>ジュンイ</t>
    </rPh>
    <rPh sb="2" eb="4">
      <t>ソウカン</t>
    </rPh>
    <rPh sb="5" eb="7">
      <t>ケンテイ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</si>
</sst>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0" fontId="2" fillId="2" borderId="2" xfId="0" applyFont="1" applyFill="1" applyBorder="1" applyAlignment="1">
      <alignment horizontal="centerContinuous" vertical="center"/>
    </xf>
    <xf numFmtId="0" fontId="2" fillId="5" borderId="2" xfId="0" applyFont="1" applyFill="1" applyBorder="1" applyAlignment="1">
      <alignment horizontal="centerContinuous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176" fontId="0" fillId="0" borderId="2" xfId="0" applyNumberFormat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>
      <alignment vertical="center"/>
    </xf>
    <xf numFmtId="176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4BD4-E90B-429B-9F5C-EA141E3BF370}">
  <dimension ref="A1:H33"/>
  <sheetViews>
    <sheetView tabSelected="1" workbookViewId="0">
      <selection activeCell="D4" sqref="D4"/>
    </sheetView>
  </sheetViews>
  <sheetFormatPr defaultRowHeight="17.649999999999999" x14ac:dyDescent="0.7"/>
  <cols>
    <col min="1" max="1" width="6.375" customWidth="1"/>
    <col min="2" max="2" width="13.6875" customWidth="1"/>
    <col min="3" max="3" width="12.5625" customWidth="1"/>
    <col min="4" max="5" width="14.1875" customWidth="1"/>
  </cols>
  <sheetData>
    <row r="1" spans="1:8" x14ac:dyDescent="0.7">
      <c r="A1" s="3" t="s">
        <v>8</v>
      </c>
      <c r="B1" s="3"/>
      <c r="C1" s="3"/>
      <c r="D1" s="3"/>
      <c r="E1" s="3"/>
      <c r="G1" s="4" t="s">
        <v>10</v>
      </c>
      <c r="H1" s="4"/>
    </row>
    <row r="3" spans="1:8" ht="17.649999999999999" customHeight="1" x14ac:dyDescent="0.7">
      <c r="A3" s="7" t="s">
        <v>9</v>
      </c>
      <c r="B3" s="7" t="s">
        <v>2</v>
      </c>
      <c r="C3" s="7" t="s">
        <v>1</v>
      </c>
      <c r="D3" s="7" t="s">
        <v>3</v>
      </c>
      <c r="E3" s="7" t="s">
        <v>4</v>
      </c>
      <c r="G3" s="5" t="s">
        <v>5</v>
      </c>
      <c r="H3" s="14"/>
    </row>
    <row r="4" spans="1:8" x14ac:dyDescent="0.7">
      <c r="A4" s="1">
        <v>1</v>
      </c>
      <c r="B4" s="1">
        <v>28</v>
      </c>
      <c r="C4">
        <v>3.4</v>
      </c>
    </row>
    <row r="5" spans="1:8" x14ac:dyDescent="0.7">
      <c r="A5" s="1">
        <v>2</v>
      </c>
      <c r="B5" s="1">
        <v>18</v>
      </c>
      <c r="C5">
        <v>1.8</v>
      </c>
      <c r="G5" s="8" t="s">
        <v>7</v>
      </c>
      <c r="H5" s="9"/>
    </row>
    <row r="6" spans="1:8" x14ac:dyDescent="0.7">
      <c r="A6" s="1">
        <v>3</v>
      </c>
      <c r="B6" s="1">
        <v>5</v>
      </c>
      <c r="C6">
        <v>2.6</v>
      </c>
      <c r="G6" s="6" t="s">
        <v>6</v>
      </c>
      <c r="H6" s="2"/>
    </row>
    <row r="7" spans="1:8" x14ac:dyDescent="0.7">
      <c r="A7" s="1">
        <v>4</v>
      </c>
      <c r="B7" s="1">
        <v>38</v>
      </c>
      <c r="C7">
        <v>4.2</v>
      </c>
      <c r="G7" s="10" t="s">
        <v>0</v>
      </c>
      <c r="H7" s="11"/>
    </row>
    <row r="8" spans="1:8" x14ac:dyDescent="0.7">
      <c r="A8" s="1">
        <v>5</v>
      </c>
      <c r="B8" s="1">
        <v>120</v>
      </c>
      <c r="C8">
        <v>4.7</v>
      </c>
    </row>
    <row r="9" spans="1:8" x14ac:dyDescent="0.7">
      <c r="A9" s="1">
        <v>6</v>
      </c>
      <c r="B9" s="1">
        <v>10</v>
      </c>
      <c r="C9">
        <v>3.3</v>
      </c>
    </row>
    <row r="10" spans="1:8" x14ac:dyDescent="0.7">
      <c r="A10" s="1">
        <v>7</v>
      </c>
      <c r="B10" s="1">
        <v>15</v>
      </c>
      <c r="C10">
        <v>3.8</v>
      </c>
    </row>
    <row r="11" spans="1:8" x14ac:dyDescent="0.7">
      <c r="A11" s="1">
        <v>8</v>
      </c>
      <c r="B11" s="1">
        <v>50</v>
      </c>
      <c r="C11">
        <v>4.5</v>
      </c>
    </row>
    <row r="12" spans="1:8" x14ac:dyDescent="0.7">
      <c r="A12" s="1">
        <v>9</v>
      </c>
      <c r="B12" s="1">
        <v>8</v>
      </c>
      <c r="C12">
        <v>3.6</v>
      </c>
    </row>
    <row r="13" spans="1:8" x14ac:dyDescent="0.7">
      <c r="A13" s="1">
        <v>10</v>
      </c>
      <c r="B13" s="1">
        <v>25</v>
      </c>
      <c r="C13">
        <v>4.0999999999999996</v>
      </c>
    </row>
    <row r="14" spans="1:8" x14ac:dyDescent="0.7">
      <c r="A14" s="1">
        <v>11</v>
      </c>
      <c r="B14" s="1">
        <v>20</v>
      </c>
      <c r="C14">
        <v>3.9</v>
      </c>
    </row>
    <row r="15" spans="1:8" x14ac:dyDescent="0.7">
      <c r="A15" s="1">
        <v>12</v>
      </c>
      <c r="B15" s="1">
        <v>40</v>
      </c>
      <c r="C15">
        <v>4.3</v>
      </c>
    </row>
    <row r="16" spans="1:8" x14ac:dyDescent="0.7">
      <c r="A16" s="1">
        <v>13</v>
      </c>
      <c r="B16" s="1">
        <v>12</v>
      </c>
      <c r="C16">
        <v>3.3</v>
      </c>
    </row>
    <row r="17" spans="1:3" x14ac:dyDescent="0.7">
      <c r="A17" s="1">
        <v>14</v>
      </c>
      <c r="B17" s="1">
        <v>35</v>
      </c>
      <c r="C17">
        <v>4.2</v>
      </c>
    </row>
    <row r="18" spans="1:3" x14ac:dyDescent="0.7">
      <c r="A18" s="1">
        <v>15</v>
      </c>
      <c r="B18" s="1">
        <v>2</v>
      </c>
      <c r="C18">
        <v>4.4000000000000004</v>
      </c>
    </row>
    <row r="19" spans="1:3" x14ac:dyDescent="0.7">
      <c r="A19" s="1">
        <v>16</v>
      </c>
      <c r="B19" s="1">
        <v>60</v>
      </c>
      <c r="C19">
        <v>3.9</v>
      </c>
    </row>
    <row r="20" spans="1:3" x14ac:dyDescent="0.7">
      <c r="A20" s="1">
        <v>17</v>
      </c>
      <c r="B20" s="1">
        <v>45</v>
      </c>
      <c r="C20">
        <v>2.2000000000000002</v>
      </c>
    </row>
    <row r="21" spans="1:3" x14ac:dyDescent="0.7">
      <c r="A21" s="1">
        <v>18</v>
      </c>
      <c r="B21" s="1">
        <v>32</v>
      </c>
      <c r="C21">
        <v>3.7</v>
      </c>
    </row>
    <row r="22" spans="1:3" x14ac:dyDescent="0.7">
      <c r="A22" s="1">
        <v>19</v>
      </c>
      <c r="B22" s="1">
        <v>22</v>
      </c>
      <c r="C22">
        <v>3.9</v>
      </c>
    </row>
    <row r="23" spans="1:3" x14ac:dyDescent="0.7">
      <c r="A23" s="1">
        <v>20</v>
      </c>
      <c r="B23" s="1">
        <v>30</v>
      </c>
      <c r="C23">
        <v>3.1</v>
      </c>
    </row>
    <row r="24" spans="1:3" x14ac:dyDescent="0.7">
      <c r="A24" s="1">
        <v>21</v>
      </c>
      <c r="B24" s="1">
        <v>10</v>
      </c>
      <c r="C24">
        <v>4.0999999999999996</v>
      </c>
    </row>
    <row r="25" spans="1:3" x14ac:dyDescent="0.7">
      <c r="A25" s="1">
        <v>22</v>
      </c>
      <c r="B25" s="1">
        <v>20</v>
      </c>
      <c r="C25">
        <v>3.3</v>
      </c>
    </row>
    <row r="26" spans="1:3" x14ac:dyDescent="0.7">
      <c r="A26" s="1">
        <v>23</v>
      </c>
      <c r="B26" s="1">
        <v>3</v>
      </c>
      <c r="C26">
        <v>3.7</v>
      </c>
    </row>
    <row r="27" spans="1:3" x14ac:dyDescent="0.7">
      <c r="A27" s="1">
        <v>24</v>
      </c>
      <c r="B27" s="1">
        <v>58</v>
      </c>
      <c r="C27">
        <v>4.2</v>
      </c>
    </row>
    <row r="28" spans="1:3" x14ac:dyDescent="0.7">
      <c r="A28" s="1">
        <v>25</v>
      </c>
      <c r="B28" s="1">
        <v>14</v>
      </c>
      <c r="C28">
        <v>2.4</v>
      </c>
    </row>
    <row r="29" spans="1:3" x14ac:dyDescent="0.7">
      <c r="A29" s="1">
        <v>26</v>
      </c>
      <c r="B29" s="1">
        <v>25</v>
      </c>
      <c r="C29">
        <v>3.2</v>
      </c>
    </row>
    <row r="30" spans="1:3" x14ac:dyDescent="0.7">
      <c r="A30" s="1">
        <v>27</v>
      </c>
      <c r="B30" s="1">
        <v>50</v>
      </c>
      <c r="C30">
        <v>4.8</v>
      </c>
    </row>
    <row r="31" spans="1:3" x14ac:dyDescent="0.7">
      <c r="A31" s="1">
        <v>28</v>
      </c>
      <c r="B31" s="1">
        <v>2</v>
      </c>
      <c r="C31">
        <v>4.0999999999999996</v>
      </c>
    </row>
    <row r="32" spans="1:3" x14ac:dyDescent="0.7">
      <c r="A32" s="1">
        <v>29</v>
      </c>
      <c r="B32" s="1">
        <v>7</v>
      </c>
      <c r="C32">
        <v>3.8</v>
      </c>
    </row>
    <row r="33" spans="1:5" x14ac:dyDescent="0.7">
      <c r="A33" s="12">
        <v>30</v>
      </c>
      <c r="B33" s="12">
        <v>13</v>
      </c>
      <c r="C33" s="13">
        <v>2.4</v>
      </c>
      <c r="D33" s="13"/>
      <c r="E33" s="13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063A-0D53-4517-8F76-680FF5D974DE}">
  <dimension ref="A1:H33"/>
  <sheetViews>
    <sheetView workbookViewId="0">
      <selection activeCell="D4" sqref="D4"/>
    </sheetView>
  </sheetViews>
  <sheetFormatPr defaultRowHeight="17.649999999999999" x14ac:dyDescent="0.7"/>
  <cols>
    <col min="1" max="1" width="6.375" customWidth="1"/>
    <col min="2" max="2" width="13.6875" customWidth="1"/>
    <col min="3" max="3" width="12.5625" customWidth="1"/>
    <col min="4" max="5" width="14.1875" customWidth="1"/>
  </cols>
  <sheetData>
    <row r="1" spans="1:8" x14ac:dyDescent="0.7">
      <c r="A1" s="3" t="s">
        <v>8</v>
      </c>
      <c r="B1" s="3"/>
      <c r="C1" s="3"/>
      <c r="D1" s="3"/>
      <c r="E1" s="3"/>
      <c r="G1" s="4" t="s">
        <v>10</v>
      </c>
      <c r="H1" s="4"/>
    </row>
    <row r="3" spans="1:8" ht="17.649999999999999" customHeight="1" x14ac:dyDescent="0.7">
      <c r="A3" s="7" t="s">
        <v>9</v>
      </c>
      <c r="B3" s="7" t="s">
        <v>2</v>
      </c>
      <c r="C3" s="7" t="s">
        <v>1</v>
      </c>
      <c r="D3" s="7" t="s">
        <v>3</v>
      </c>
      <c r="E3" s="7" t="s">
        <v>4</v>
      </c>
      <c r="G3" s="5" t="s">
        <v>5</v>
      </c>
      <c r="H3" s="14">
        <f>CORREL(_xlfn.ANCHORARRAY(D4),_xlfn.ANCHORARRAY(E4))</f>
        <v>0.35244299043808991</v>
      </c>
    </row>
    <row r="4" spans="1:8" x14ac:dyDescent="0.7">
      <c r="A4" s="1">
        <v>1</v>
      </c>
      <c r="B4" s="1">
        <v>28</v>
      </c>
      <c r="C4">
        <v>3.4</v>
      </c>
      <c r="D4" cm="1">
        <f t="array" ref="D4:D33">_xlfn.RANK.AVG(B4:B33,B4:B33,1)</f>
        <v>19</v>
      </c>
      <c r="E4" cm="1">
        <f t="array" ref="E4:E33">_xlfn.RANK.AVG(C4:C33,C4:C33,1)</f>
        <v>11</v>
      </c>
    </row>
    <row r="5" spans="1:8" x14ac:dyDescent="0.7">
      <c r="A5" s="1">
        <v>2</v>
      </c>
      <c r="B5" s="1">
        <v>18</v>
      </c>
      <c r="C5">
        <v>1.8</v>
      </c>
      <c r="D5">
        <v>13</v>
      </c>
      <c r="E5">
        <v>1</v>
      </c>
      <c r="G5" s="8" t="s">
        <v>7</v>
      </c>
      <c r="H5" s="9">
        <f>COUNT(_xlfn.ANCHORARRAY(D4))</f>
        <v>30</v>
      </c>
    </row>
    <row r="6" spans="1:8" x14ac:dyDescent="0.7">
      <c r="A6" s="1">
        <v>3</v>
      </c>
      <c r="B6" s="1">
        <v>5</v>
      </c>
      <c r="C6">
        <v>2.6</v>
      </c>
      <c r="D6">
        <v>4</v>
      </c>
      <c r="E6">
        <v>5</v>
      </c>
      <c r="G6" s="6" t="s">
        <v>6</v>
      </c>
      <c r="H6" s="2">
        <f>H3*SQRT((H5-2)/(1-H3^2))</f>
        <v>1.9928261119723216</v>
      </c>
    </row>
    <row r="7" spans="1:8" x14ac:dyDescent="0.7">
      <c r="A7" s="1">
        <v>4</v>
      </c>
      <c r="B7" s="1">
        <v>38</v>
      </c>
      <c r="C7">
        <v>4.2</v>
      </c>
      <c r="D7">
        <v>23</v>
      </c>
      <c r="E7">
        <v>24</v>
      </c>
      <c r="G7" s="10" t="s">
        <v>0</v>
      </c>
      <c r="H7" s="11">
        <f>_xlfn.T.DIST.2T(ABS(H6),H5-2)</f>
        <v>5.6108917848092972E-2</v>
      </c>
    </row>
    <row r="8" spans="1:8" x14ac:dyDescent="0.7">
      <c r="A8" s="1">
        <v>5</v>
      </c>
      <c r="B8" s="1">
        <v>120</v>
      </c>
      <c r="C8">
        <v>4.7</v>
      </c>
      <c r="D8">
        <v>30</v>
      </c>
      <c r="E8">
        <v>29</v>
      </c>
    </row>
    <row r="9" spans="1:8" x14ac:dyDescent="0.7">
      <c r="A9" s="1">
        <v>6</v>
      </c>
      <c r="B9" s="1">
        <v>10</v>
      </c>
      <c r="C9">
        <v>3.3</v>
      </c>
      <c r="D9">
        <v>7.5</v>
      </c>
      <c r="E9">
        <v>9</v>
      </c>
    </row>
    <row r="10" spans="1:8" x14ac:dyDescent="0.7">
      <c r="A10" s="1">
        <v>7</v>
      </c>
      <c r="B10" s="1">
        <v>15</v>
      </c>
      <c r="C10">
        <v>3.8</v>
      </c>
      <c r="D10">
        <v>12</v>
      </c>
      <c r="E10">
        <v>15.5</v>
      </c>
    </row>
    <row r="11" spans="1:8" x14ac:dyDescent="0.7">
      <c r="A11" s="1">
        <v>8</v>
      </c>
      <c r="B11" s="1">
        <v>50</v>
      </c>
      <c r="C11">
        <v>4.5</v>
      </c>
      <c r="D11">
        <v>26.5</v>
      </c>
      <c r="E11">
        <v>28</v>
      </c>
    </row>
    <row r="12" spans="1:8" x14ac:dyDescent="0.7">
      <c r="A12" s="1">
        <v>9</v>
      </c>
      <c r="B12" s="1">
        <v>8</v>
      </c>
      <c r="C12">
        <v>3.6</v>
      </c>
      <c r="D12">
        <v>6</v>
      </c>
      <c r="E12">
        <v>12</v>
      </c>
    </row>
    <row r="13" spans="1:8" x14ac:dyDescent="0.7">
      <c r="A13" s="1">
        <v>10</v>
      </c>
      <c r="B13" s="1">
        <v>25</v>
      </c>
      <c r="C13">
        <v>4.0999999999999996</v>
      </c>
      <c r="D13">
        <v>17.5</v>
      </c>
      <c r="E13">
        <v>21</v>
      </c>
    </row>
    <row r="14" spans="1:8" x14ac:dyDescent="0.7">
      <c r="A14" s="1">
        <v>11</v>
      </c>
      <c r="B14" s="1">
        <v>20</v>
      </c>
      <c r="C14">
        <v>3.9</v>
      </c>
      <c r="D14">
        <v>14.5</v>
      </c>
      <c r="E14">
        <v>18</v>
      </c>
    </row>
    <row r="15" spans="1:8" x14ac:dyDescent="0.7">
      <c r="A15" s="1">
        <v>12</v>
      </c>
      <c r="B15" s="1">
        <v>40</v>
      </c>
      <c r="C15">
        <v>4.3</v>
      </c>
      <c r="D15">
        <v>24</v>
      </c>
      <c r="E15">
        <v>26</v>
      </c>
    </row>
    <row r="16" spans="1:8" x14ac:dyDescent="0.7">
      <c r="A16" s="1">
        <v>13</v>
      </c>
      <c r="B16" s="1">
        <v>12</v>
      </c>
      <c r="C16">
        <v>3.3</v>
      </c>
      <c r="D16">
        <v>9</v>
      </c>
      <c r="E16">
        <v>9</v>
      </c>
    </row>
    <row r="17" spans="1:5" x14ac:dyDescent="0.7">
      <c r="A17" s="1">
        <v>14</v>
      </c>
      <c r="B17" s="1">
        <v>35</v>
      </c>
      <c r="C17">
        <v>4.2</v>
      </c>
      <c r="D17">
        <v>22</v>
      </c>
      <c r="E17">
        <v>24</v>
      </c>
    </row>
    <row r="18" spans="1:5" x14ac:dyDescent="0.7">
      <c r="A18" s="1">
        <v>15</v>
      </c>
      <c r="B18" s="1">
        <v>2</v>
      </c>
      <c r="C18">
        <v>4.4000000000000004</v>
      </c>
      <c r="D18">
        <v>1.5</v>
      </c>
      <c r="E18">
        <v>27</v>
      </c>
    </row>
    <row r="19" spans="1:5" x14ac:dyDescent="0.7">
      <c r="A19" s="1">
        <v>16</v>
      </c>
      <c r="B19" s="1">
        <v>60</v>
      </c>
      <c r="C19">
        <v>3.9</v>
      </c>
      <c r="D19">
        <v>29</v>
      </c>
      <c r="E19">
        <v>18</v>
      </c>
    </row>
    <row r="20" spans="1:5" x14ac:dyDescent="0.7">
      <c r="A20" s="1">
        <v>17</v>
      </c>
      <c r="B20" s="1">
        <v>45</v>
      </c>
      <c r="C20">
        <v>2.2000000000000002</v>
      </c>
      <c r="D20">
        <v>25</v>
      </c>
      <c r="E20">
        <v>2</v>
      </c>
    </row>
    <row r="21" spans="1:5" x14ac:dyDescent="0.7">
      <c r="A21" s="1">
        <v>18</v>
      </c>
      <c r="B21" s="1">
        <v>32</v>
      </c>
      <c r="C21">
        <v>3.7</v>
      </c>
      <c r="D21">
        <v>21</v>
      </c>
      <c r="E21">
        <v>13.5</v>
      </c>
    </row>
    <row r="22" spans="1:5" x14ac:dyDescent="0.7">
      <c r="A22" s="1">
        <v>19</v>
      </c>
      <c r="B22" s="1">
        <v>22</v>
      </c>
      <c r="C22">
        <v>3.9</v>
      </c>
      <c r="D22">
        <v>16</v>
      </c>
      <c r="E22">
        <v>18</v>
      </c>
    </row>
    <row r="23" spans="1:5" x14ac:dyDescent="0.7">
      <c r="A23" s="1">
        <v>20</v>
      </c>
      <c r="B23" s="1">
        <v>30</v>
      </c>
      <c r="C23">
        <v>3.1</v>
      </c>
      <c r="D23">
        <v>20</v>
      </c>
      <c r="E23">
        <v>6</v>
      </c>
    </row>
    <row r="24" spans="1:5" x14ac:dyDescent="0.7">
      <c r="A24" s="1">
        <v>21</v>
      </c>
      <c r="B24" s="1">
        <v>10</v>
      </c>
      <c r="C24">
        <v>4.0999999999999996</v>
      </c>
      <c r="D24">
        <v>7.5</v>
      </c>
      <c r="E24">
        <v>21</v>
      </c>
    </row>
    <row r="25" spans="1:5" x14ac:dyDescent="0.7">
      <c r="A25" s="1">
        <v>22</v>
      </c>
      <c r="B25" s="1">
        <v>20</v>
      </c>
      <c r="C25">
        <v>3.3</v>
      </c>
      <c r="D25">
        <v>14.5</v>
      </c>
      <c r="E25">
        <v>9</v>
      </c>
    </row>
    <row r="26" spans="1:5" x14ac:dyDescent="0.7">
      <c r="A26" s="1">
        <v>23</v>
      </c>
      <c r="B26" s="1">
        <v>3</v>
      </c>
      <c r="C26">
        <v>3.7</v>
      </c>
      <c r="D26">
        <v>3</v>
      </c>
      <c r="E26">
        <v>13.5</v>
      </c>
    </row>
    <row r="27" spans="1:5" x14ac:dyDescent="0.7">
      <c r="A27" s="1">
        <v>24</v>
      </c>
      <c r="B27" s="1">
        <v>58</v>
      </c>
      <c r="C27">
        <v>4.2</v>
      </c>
      <c r="D27">
        <v>28</v>
      </c>
      <c r="E27">
        <v>24</v>
      </c>
    </row>
    <row r="28" spans="1:5" x14ac:dyDescent="0.7">
      <c r="A28" s="1">
        <v>25</v>
      </c>
      <c r="B28" s="1">
        <v>14</v>
      </c>
      <c r="C28">
        <v>2.4</v>
      </c>
      <c r="D28">
        <v>11</v>
      </c>
      <c r="E28">
        <v>3.5</v>
      </c>
    </row>
    <row r="29" spans="1:5" x14ac:dyDescent="0.7">
      <c r="A29" s="1">
        <v>26</v>
      </c>
      <c r="B29" s="1">
        <v>25</v>
      </c>
      <c r="C29">
        <v>3.2</v>
      </c>
      <c r="D29">
        <v>17.5</v>
      </c>
      <c r="E29">
        <v>7</v>
      </c>
    </row>
    <row r="30" spans="1:5" x14ac:dyDescent="0.7">
      <c r="A30" s="1">
        <v>27</v>
      </c>
      <c r="B30" s="1">
        <v>50</v>
      </c>
      <c r="C30">
        <v>4.8</v>
      </c>
      <c r="D30">
        <v>26.5</v>
      </c>
      <c r="E30">
        <v>30</v>
      </c>
    </row>
    <row r="31" spans="1:5" x14ac:dyDescent="0.7">
      <c r="A31" s="1">
        <v>28</v>
      </c>
      <c r="B31" s="1">
        <v>2</v>
      </c>
      <c r="C31">
        <v>4.0999999999999996</v>
      </c>
      <c r="D31">
        <v>1.5</v>
      </c>
      <c r="E31">
        <v>21</v>
      </c>
    </row>
    <row r="32" spans="1:5" x14ac:dyDescent="0.7">
      <c r="A32" s="1">
        <v>29</v>
      </c>
      <c r="B32" s="1">
        <v>7</v>
      </c>
      <c r="C32">
        <v>3.8</v>
      </c>
      <c r="D32">
        <v>5</v>
      </c>
      <c r="E32">
        <v>15.5</v>
      </c>
    </row>
    <row r="33" spans="1:5" x14ac:dyDescent="0.7">
      <c r="A33" s="12">
        <v>30</v>
      </c>
      <c r="B33" s="12">
        <v>13</v>
      </c>
      <c r="C33" s="13">
        <v>2.4</v>
      </c>
      <c r="D33" s="13">
        <v>10</v>
      </c>
      <c r="E33" s="13">
        <v>3.5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スピアマン順位相関検定</vt:lpstr>
      <vt:lpstr>スピアマン順位相関検定 (作成例)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羽山博</dc:creator>
  <cp:lastModifiedBy>羽山博</cp:lastModifiedBy>
  <dcterms:created xsi:type="dcterms:W3CDTF">2026-02-08T22:49:42Z</dcterms:created>
  <dcterms:modified xsi:type="dcterms:W3CDTF">2026-02-10T05:43:09Z</dcterms:modified>
</cp:coreProperties>
</file>