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iros-h\Documents\サンプル\"/>
    </mc:Choice>
  </mc:AlternateContent>
  <xr:revisionPtr revIDLastSave="0" documentId="13_ncr:1_{500ABE02-C415-4D8F-93A2-8F27986DD17E}" xr6:coauthVersionLast="47" xr6:coauthVersionMax="47" xr10:uidLastSave="{00000000-0000-0000-0000-000000000000}"/>
  <bookViews>
    <workbookView xWindow="6315" yWindow="1440" windowWidth="28185" windowHeight="15030" xr2:uid="{43A727E7-E0DD-4276-BE22-A0C497C034AF}"/>
  </bookViews>
  <sheets>
    <sheet name="重回帰の検定" sheetId="1" r:id="rId1"/>
    <sheet name="重回帰の検定 (作成例)" sheetId="7" r:id="rId2"/>
    <sheet name="決定係数" sheetId="3" r:id="rId3"/>
    <sheet name="サンプルサイズとP値 (作成例)" sheetId="6" r:id="rId4"/>
  </sheets>
  <definedNames>
    <definedName name="RMSE" localSheetId="3">_xlfn.LAMBDA(_xlpm.a,_xlpm.b,_xlpm.x,_xlpm.y,SQRT(SUM(((_xlpm.a*_xlpm.x+_xlpm.b)-_xlpm.y)^2)/COUNT(_xlpm.y)))</definedName>
    <definedName name="RMSE">_xlfn.LAMBDA(_xlpm.a,_xlpm.b,_xlpm.x,_xlpm.y,SQRT(SUM(((_xlpm.a*_xlpm.x+_xlpm.b)-_xlpm.y)^2)/COUNT(_xlpm.y)))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7" l="1" a="1"/>
  <c r="L10" i="7" s="1"/>
  <c r="A6" i="6" a="1"/>
  <c r="A6" i="6" s="1"/>
  <c r="L4" i="7" l="1"/>
  <c r="B6" i="6" a="1"/>
  <c r="B6" i="6" l="1"/>
  <c r="C6" i="6" s="1" a="1"/>
  <c r="C6" i="6" s="1"/>
  <c r="L4" i="3" a="1"/>
  <c r="L4" i="3" s="1"/>
  <c r="O6" i="3"/>
  <c r="J4" i="3" a="1"/>
  <c r="J4" i="3" s="1"/>
  <c r="O4" i="3" a="1"/>
  <c r="O4" i="3" s="1"/>
  <c r="K4" i="3" l="1" a="1"/>
  <c r="K4" i="3" s="1"/>
  <c r="N9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<sst xmlns="http://schemas.openxmlformats.org/spreadsheetml/2006/main" count="816" uniqueCount="130">
  <si>
    <t>メーカー</t>
  </si>
  <si>
    <t>名称</t>
  </si>
  <si>
    <t>タイプ</t>
  </si>
  <si>
    <t>年式</t>
  </si>
  <si>
    <t>排気量（cc）</t>
  </si>
  <si>
    <t>ミッション</t>
  </si>
  <si>
    <t>車検</t>
  </si>
  <si>
    <t>本体価格（万円）</t>
  </si>
  <si>
    <t>スバル</t>
  </si>
  <si>
    <t>レガシィ</t>
  </si>
  <si>
    <t>セダン</t>
  </si>
  <si>
    <t>CVT</t>
  </si>
  <si>
    <t>令和2年4月</t>
  </si>
  <si>
    <t>マツダ</t>
  </si>
  <si>
    <t>CX-5</t>
  </si>
  <si>
    <t>SUV</t>
  </si>
  <si>
    <t>AT</t>
  </si>
  <si>
    <t>令和3年1月</t>
  </si>
  <si>
    <t>スズキ</t>
  </si>
  <si>
    <t>アルト</t>
  </si>
  <si>
    <t>コンパクト</t>
  </si>
  <si>
    <t>日産</t>
  </si>
  <si>
    <t>ティアナ</t>
  </si>
  <si>
    <t>令和2年8月</t>
  </si>
  <si>
    <t>CX-9</t>
  </si>
  <si>
    <t>令和2年11月</t>
  </si>
  <si>
    <t>トヨタ</t>
  </si>
  <si>
    <t>ハイエース</t>
  </si>
  <si>
    <t>バン</t>
  </si>
  <si>
    <t>車検切れ</t>
  </si>
  <si>
    <t>アルファロメオ</t>
  </si>
  <si>
    <t>ジュリアスプリント</t>
  </si>
  <si>
    <t>クーペ</t>
  </si>
  <si>
    <t>MT</t>
  </si>
  <si>
    <t>令和2年12月</t>
  </si>
  <si>
    <t>ポルシェ</t>
  </si>
  <si>
    <t>スポーツカー</t>
  </si>
  <si>
    <t>令和3年5月</t>
  </si>
  <si>
    <t>パッソ</t>
  </si>
  <si>
    <t>ロードスター</t>
  </si>
  <si>
    <t>令和2年1月</t>
  </si>
  <si>
    <t>バレーノ</t>
  </si>
  <si>
    <t>令和2年5月</t>
  </si>
  <si>
    <t>テスラ</t>
  </si>
  <si>
    <t>モデル3</t>
  </si>
  <si>
    <t>フォルクスワーゲン</t>
  </si>
  <si>
    <t>ティグアン</t>
  </si>
  <si>
    <t>デミオ</t>
  </si>
  <si>
    <t>ヴィッツ</t>
  </si>
  <si>
    <t>ハッチバック</t>
  </si>
  <si>
    <t>ホンダ</t>
  </si>
  <si>
    <t>フィット</t>
  </si>
  <si>
    <t>セントラ</t>
  </si>
  <si>
    <t>ソリオ</t>
  </si>
  <si>
    <t>ワゴン</t>
  </si>
  <si>
    <t>レヴォーグ</t>
  </si>
  <si>
    <t>令和2年10月</t>
  </si>
  <si>
    <t>ライフ</t>
  </si>
  <si>
    <t>ヴォクシー</t>
  </si>
  <si>
    <t>ミニバン</t>
  </si>
  <si>
    <t>インサイト</t>
  </si>
  <si>
    <t>ハイブリッド</t>
  </si>
  <si>
    <t>ノート</t>
  </si>
  <si>
    <t>ピクシスエポック</t>
  </si>
  <si>
    <t>アウディ</t>
  </si>
  <si>
    <t>A4</t>
  </si>
  <si>
    <t>プリウス</t>
  </si>
  <si>
    <t>シャトル</t>
  </si>
  <si>
    <t>フェアレディZ</t>
  </si>
  <si>
    <t>N-WGN</t>
  </si>
  <si>
    <t>令和3年3月</t>
  </si>
  <si>
    <t>BMW</t>
  </si>
  <si>
    <t>5シリーズ</t>
  </si>
  <si>
    <t>令和3年6月</t>
  </si>
  <si>
    <t>フィットハイブリッド</t>
  </si>
  <si>
    <t>令和2年6月</t>
  </si>
  <si>
    <t>ムラーノ</t>
  </si>
  <si>
    <t>令和3年4月</t>
  </si>
  <si>
    <t>MX-5</t>
  </si>
  <si>
    <t>セレナ</t>
  </si>
  <si>
    <t>令和2年7月</t>
  </si>
  <si>
    <t>ダイハツ</t>
  </si>
  <si>
    <t>ムーヴキャンバス</t>
  </si>
  <si>
    <t>ノア</t>
  </si>
  <si>
    <t>シビック</t>
  </si>
  <si>
    <t>A6</t>
  </si>
  <si>
    <t>ジャガー</t>
  </si>
  <si>
    <t>XE</t>
  </si>
  <si>
    <t>インプレッサXV</t>
  </si>
  <si>
    <t>N-BOXカスタム</t>
  </si>
  <si>
    <t>ヴェゼル</t>
  </si>
  <si>
    <t>スイフト</t>
  </si>
  <si>
    <t>令和2年9月</t>
  </si>
  <si>
    <t>ランドローバー</t>
  </si>
  <si>
    <t>ディスカバリー</t>
  </si>
  <si>
    <t>カイエン</t>
  </si>
  <si>
    <t>令和3年2月</t>
  </si>
  <si>
    <t>走行（km）</t>
    <phoneticPr fontId="1"/>
  </si>
  <si>
    <t>中古車データ（架空データ）</t>
    <rPh sb="0" eb="3">
      <t>チュウコシャ</t>
    </rPh>
    <rPh sb="7" eb="9">
      <t>カクウ</t>
    </rPh>
    <phoneticPr fontId="1"/>
  </si>
  <si>
    <t>年式</t>
    <rPh sb="0" eb="2">
      <t>ネンシキ</t>
    </rPh>
    <phoneticPr fontId="1"/>
  </si>
  <si>
    <t>排気量</t>
    <rPh sb="0" eb="3">
      <t>ハイキリョウ</t>
    </rPh>
    <phoneticPr fontId="1"/>
  </si>
  <si>
    <t>走行</t>
    <rPh sb="0" eb="2">
      <t>ソウコウ</t>
    </rPh>
    <phoneticPr fontId="1"/>
  </si>
  <si>
    <t>定数項</t>
    <rPh sb="0" eb="2">
      <t>テイスウ</t>
    </rPh>
    <rPh sb="2" eb="3">
      <t>コウ</t>
    </rPh>
    <phoneticPr fontId="1"/>
  </si>
  <si>
    <t>係数</t>
    <rPh sb="0" eb="2">
      <t>ケイスウ</t>
    </rPh>
    <phoneticPr fontId="1"/>
  </si>
  <si>
    <t>標準誤差</t>
    <rPh sb="0" eb="2">
      <t>ヒョウジュン</t>
    </rPh>
    <rPh sb="2" eb="4">
      <t>ゴサ</t>
    </rPh>
    <phoneticPr fontId="1"/>
  </si>
  <si>
    <t>回帰式の当てはまり</t>
    <rPh sb="0" eb="3">
      <t>カイキシキ</t>
    </rPh>
    <rPh sb="4" eb="5">
      <t>ア</t>
    </rPh>
    <phoneticPr fontId="1"/>
  </si>
  <si>
    <r>
      <t>R</t>
    </r>
    <r>
      <rPr>
        <b/>
        <vertAlign val="superscript"/>
        <sz val="11"/>
        <color theme="1"/>
        <rFont val="游ゴシック"/>
        <family val="3"/>
        <charset val="128"/>
        <scheme val="minor"/>
      </rPr>
      <t>2</t>
    </r>
    <r>
      <rPr>
        <b/>
        <sz val="11"/>
        <color theme="1"/>
        <rFont val="游ゴシック"/>
        <family val="3"/>
        <charset val="128"/>
        <scheme val="minor"/>
      </rPr>
      <t>｜yの標準誤差</t>
    </r>
    <rPh sb="5" eb="7">
      <t>ヒョウジュン</t>
    </rPh>
    <rPh sb="7" eb="9">
      <t>ゴサ</t>
    </rPh>
    <phoneticPr fontId="1"/>
  </si>
  <si>
    <t>F｜自由度</t>
    <rPh sb="2" eb="5">
      <t>ジユウド</t>
    </rPh>
    <phoneticPr fontId="1"/>
  </si>
  <si>
    <t>回帰｜誤差の二乗和</t>
    <rPh sb="0" eb="2">
      <t>カイキ</t>
    </rPh>
    <rPh sb="3" eb="5">
      <t>ゴサ</t>
    </rPh>
    <rPh sb="6" eb="8">
      <t>ジジョウ</t>
    </rPh>
    <rPh sb="8" eb="9">
      <t>ワ</t>
    </rPh>
    <phoneticPr fontId="1"/>
  </si>
  <si>
    <t>回帰式</t>
    <rPh sb="0" eb="3">
      <t>カイキシキ</t>
    </rPh>
    <phoneticPr fontId="1"/>
  </si>
  <si>
    <t>排気量</t>
    <rPh sb="0" eb="2">
      <t>ハイキ</t>
    </rPh>
    <rPh sb="2" eb="3">
      <t>リョウ</t>
    </rPh>
    <phoneticPr fontId="1"/>
  </si>
  <si>
    <t>平均との差の二乗</t>
    <rPh sb="0" eb="2">
      <t>ヘイキン</t>
    </rPh>
    <rPh sb="4" eb="5">
      <t>サ</t>
    </rPh>
    <rPh sb="6" eb="8">
      <t>ジジョウ</t>
    </rPh>
    <phoneticPr fontId="1"/>
  </si>
  <si>
    <t>平均</t>
    <rPh sb="0" eb="2">
      <t>ヘイキン</t>
    </rPh>
    <phoneticPr fontId="1"/>
  </si>
  <si>
    <r>
      <t>R</t>
    </r>
    <r>
      <rPr>
        <b/>
        <vertAlign val="superscript"/>
        <sz val="11"/>
        <color theme="1"/>
        <rFont val="游ゴシック"/>
        <family val="3"/>
        <charset val="128"/>
        <scheme val="minor"/>
      </rPr>
      <t>2</t>
    </r>
    <phoneticPr fontId="1"/>
  </si>
  <si>
    <t>n</t>
    <phoneticPr fontId="1"/>
  </si>
  <si>
    <t>k</t>
    <phoneticPr fontId="1"/>
  </si>
  <si>
    <t>予測値</t>
    <rPh sb="0" eb="3">
      <t>ヨソクチ</t>
    </rPh>
    <phoneticPr fontId="1"/>
  </si>
  <si>
    <t>予測値との差の二乗</t>
    <rPh sb="0" eb="2">
      <t>ヨソク</t>
    </rPh>
    <rPh sb="2" eb="3">
      <t>チ</t>
    </rPh>
    <rPh sb="5" eb="6">
      <t>サ</t>
    </rPh>
    <rPh sb="7" eb="9">
      <t>ジジョウ</t>
    </rPh>
    <phoneticPr fontId="1"/>
  </si>
  <si>
    <t>サンプルサイズとP値</t>
    <rPh sb="9" eb="10">
      <t>チ</t>
    </rPh>
    <phoneticPr fontId="1"/>
  </si>
  <si>
    <t>P値</t>
    <rPh sb="1" eb="2">
      <t>チ</t>
    </rPh>
    <phoneticPr fontId="1"/>
  </si>
  <si>
    <t>F</t>
    <phoneticPr fontId="1"/>
  </si>
  <si>
    <r>
      <t>・L列は(y</t>
    </r>
    <r>
      <rPr>
        <vertAlign val="subscript"/>
        <sz val="11"/>
        <color theme="1"/>
        <rFont val="游ゴシック"/>
        <family val="3"/>
        <charset val="128"/>
        <scheme val="minor"/>
      </rPr>
      <t>i</t>
    </r>
    <r>
      <rPr>
        <sz val="11"/>
        <color theme="1"/>
        <rFont val="游ゴシック"/>
        <family val="2"/>
        <charset val="128"/>
        <scheme val="minor"/>
      </rPr>
      <t>-</t>
    </r>
    <r>
      <rPr>
        <sz val="11"/>
        <color theme="1"/>
        <rFont val="Segoe UI"/>
        <family val="2"/>
        <charset val="204"/>
      </rPr>
      <t>ӯ</t>
    </r>
    <r>
      <rPr>
        <sz val="11"/>
        <color theme="1"/>
        <rFont val="游ゴシック"/>
        <family val="2"/>
        <charset val="128"/>
        <scheme val="minor"/>
      </rPr>
      <t>)</t>
    </r>
    <r>
      <rPr>
        <vertAlign val="superscript"/>
        <sz val="11"/>
        <color theme="1"/>
        <rFont val="游ゴシック"/>
        <family val="3"/>
        <charset val="128"/>
        <scheme val="minor"/>
      </rPr>
      <t>2</t>
    </r>
    <r>
      <rPr>
        <sz val="11"/>
        <color theme="1"/>
        <rFont val="游ゴシック"/>
        <family val="2"/>
        <charset val="128"/>
        <scheme val="minor"/>
      </rPr>
      <t>の値。それらの合計が(1)式の分母となる。</t>
    </r>
    <rPh sb="2" eb="3">
      <t>レツ</t>
    </rPh>
    <rPh sb="12" eb="13">
      <t>アタイ</t>
    </rPh>
    <rPh sb="18" eb="20">
      <t>ゴウケイ</t>
    </rPh>
    <rPh sb="24" eb="25">
      <t>シキ</t>
    </rPh>
    <rPh sb="26" eb="28">
      <t>ブンボ</t>
    </rPh>
    <phoneticPr fontId="1"/>
  </si>
  <si>
    <r>
      <t>・K列は(y</t>
    </r>
    <r>
      <rPr>
        <vertAlign val="subscript"/>
        <sz val="11"/>
        <color theme="1"/>
        <rFont val="游ゴシック"/>
        <family val="3"/>
        <charset val="128"/>
        <scheme val="minor"/>
      </rPr>
      <t>i</t>
    </r>
    <r>
      <rPr>
        <sz val="11"/>
        <color theme="1"/>
        <rFont val="游ゴシック"/>
        <family val="2"/>
        <charset val="128"/>
        <scheme val="minor"/>
      </rPr>
      <t>-ŷ</t>
    </r>
    <r>
      <rPr>
        <vertAlign val="subscript"/>
        <sz val="11"/>
        <color theme="1"/>
        <rFont val="游ゴシック"/>
        <family val="3"/>
        <charset val="128"/>
        <scheme val="minor"/>
      </rPr>
      <t>i</t>
    </r>
    <r>
      <rPr>
        <sz val="11"/>
        <color theme="1"/>
        <rFont val="游ゴシック"/>
        <family val="2"/>
        <charset val="128"/>
        <scheme val="minor"/>
      </rPr>
      <t>)</t>
    </r>
    <r>
      <rPr>
        <vertAlign val="superscript"/>
        <sz val="11"/>
        <color theme="1"/>
        <rFont val="游ゴシック"/>
        <family val="3"/>
        <charset val="128"/>
        <scheme val="minor"/>
      </rPr>
      <t>2</t>
    </r>
    <r>
      <rPr>
        <sz val="11"/>
        <color theme="1"/>
        <rFont val="游ゴシック"/>
        <family val="2"/>
        <charset val="128"/>
        <scheme val="minor"/>
      </rPr>
      <t>の値。それらの合計が(1)式の分子となる。</t>
    </r>
    <rPh sb="2" eb="3">
      <t>レツ</t>
    </rPh>
    <rPh sb="13" eb="14">
      <t>アタイ</t>
    </rPh>
    <rPh sb="19" eb="21">
      <t>ゴウケイ</t>
    </rPh>
    <rPh sb="25" eb="26">
      <t>シキ</t>
    </rPh>
    <rPh sb="27" eb="29">
      <t>ブンシ</t>
    </rPh>
    <phoneticPr fontId="1"/>
  </si>
  <si>
    <r>
      <t>・J列の予測値は</t>
    </r>
    <r>
      <rPr>
        <sz val="11"/>
        <color theme="1"/>
        <rFont val="游ゴシック"/>
        <family val="3"/>
        <charset val="128"/>
      </rPr>
      <t>ŷ</t>
    </r>
    <r>
      <rPr>
        <vertAlign val="subscript"/>
        <sz val="11"/>
        <color theme="1"/>
        <rFont val="Times New Roman"/>
        <family val="1"/>
      </rPr>
      <t>i</t>
    </r>
    <r>
      <rPr>
        <sz val="11"/>
        <color theme="1"/>
        <rFont val="游ゴシック"/>
        <family val="2"/>
        <charset val="128"/>
        <scheme val="minor"/>
      </rPr>
      <t>の値（回帰式に年式、走行、排気量を代入して求めた本体価格の予測値）。</t>
    </r>
    <rPh sb="2" eb="3">
      <t>レツ</t>
    </rPh>
    <rPh sb="4" eb="7">
      <t>ヨソクチ</t>
    </rPh>
    <rPh sb="11" eb="12">
      <t>アタイ</t>
    </rPh>
    <rPh sb="13" eb="16">
      <t>カイキシキ</t>
    </rPh>
    <rPh sb="17" eb="19">
      <t>ネンシキ</t>
    </rPh>
    <rPh sb="20" eb="22">
      <t>ソウコウ</t>
    </rPh>
    <rPh sb="23" eb="26">
      <t>ハイキリョウ</t>
    </rPh>
    <rPh sb="27" eb="29">
      <t>ダイニュウ</t>
    </rPh>
    <rPh sb="31" eb="32">
      <t>モト</t>
    </rPh>
    <rPh sb="34" eb="36">
      <t>ホンタイ</t>
    </rPh>
    <rPh sb="36" eb="38">
      <t>カカク</t>
    </rPh>
    <rPh sb="39" eb="42">
      <t>ヨソクチ</t>
    </rPh>
    <phoneticPr fontId="1"/>
  </si>
  <si>
    <r>
      <t>・セルN9がR</t>
    </r>
    <r>
      <rPr>
        <vertAlign val="superscript"/>
        <sz val="11"/>
        <color theme="1"/>
        <rFont val="游ゴシック"/>
        <family val="3"/>
        <charset val="128"/>
        <scheme val="minor"/>
      </rPr>
      <t>2</t>
    </r>
    <r>
      <rPr>
        <sz val="11"/>
        <color theme="1"/>
        <rFont val="游ゴシック"/>
        <family val="2"/>
        <charset val="128"/>
        <scheme val="minor"/>
      </rPr>
      <t>の値。</t>
    </r>
    <rPh sb="9" eb="10">
      <t>アタイ</t>
    </rPh>
    <phoneticPr fontId="1"/>
  </si>
  <si>
    <t>・C列でF値を基にP値を求める</t>
    <rPh sb="2" eb="3">
      <t>レツ</t>
    </rPh>
    <rPh sb="5" eb="6">
      <t>チ</t>
    </rPh>
    <rPh sb="7" eb="8">
      <t>モト</t>
    </rPh>
    <rPh sb="10" eb="11">
      <t>チ</t>
    </rPh>
    <rPh sb="12" eb="13">
      <t>モト</t>
    </rPh>
    <phoneticPr fontId="1"/>
  </si>
  <si>
    <t>・C列を折れ線グラフにする</t>
    <rPh sb="2" eb="3">
      <t>レツ</t>
    </rPh>
    <rPh sb="4" eb="5">
      <t>オ</t>
    </rPh>
    <rPh sb="6" eb="7">
      <t>セン</t>
    </rPh>
    <phoneticPr fontId="1"/>
  </si>
  <si>
    <t>・B列で右の式によりF値を求める</t>
    <rPh sb="2" eb="3">
      <t>レツ</t>
    </rPh>
    <rPh sb="4" eb="5">
      <t>ミギ</t>
    </rPh>
    <rPh sb="6" eb="7">
      <t>シキ</t>
    </rPh>
    <rPh sb="11" eb="12">
      <t>チ</t>
    </rPh>
    <rPh sb="13" eb="14">
      <t>モト</t>
    </rPh>
    <phoneticPr fontId="1"/>
  </si>
  <si>
    <t>　・横軸はセルA6～A205</t>
    <rPh sb="2" eb="4">
      <t>ヨコジク</t>
    </rPh>
    <phoneticPr fontId="1"/>
  </si>
  <si>
    <t>※ J列は「=TREND(I4:I53,D4:F53,D4:F53,TRUE)」でも求められる</t>
    <rPh sb="3" eb="4">
      <t>レツ</t>
    </rPh>
    <rPh sb="42" eb="43">
      <t>モト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</si>
</sst>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0"/>
    <numFmt numFmtId="177" formatCode="0.000"/>
    <numFmt numFmtId="178" formatCode="0.0"/>
    <numFmt numFmtId="179" formatCode="#,##0.000_ ;[Red]\-#,##0.000\ "/>
  </numFmts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vertAlign val="superscript"/>
      <sz val="11"/>
      <color theme="1"/>
      <name val="游ゴシック"/>
      <family val="3"/>
      <charset val="128"/>
      <scheme val="minor"/>
    </font>
    <font>
      <vertAlign val="subscript"/>
      <sz val="11"/>
      <color theme="1"/>
      <name val="游ゴシック"/>
      <family val="3"/>
      <charset val="128"/>
      <scheme val="minor"/>
    </font>
    <font>
      <vertAlign val="subscript"/>
      <sz val="11"/>
      <color theme="1"/>
      <name val="Times New Roman"/>
      <family val="1"/>
    </font>
    <font>
      <sz val="11"/>
      <color theme="1"/>
      <name val="游ゴシック"/>
      <family val="3"/>
      <charset val="128"/>
    </font>
    <font>
      <sz val="11"/>
      <color theme="1"/>
      <name val="Segoe UI"/>
      <family val="2"/>
      <charset val="204"/>
    </font>
    <font>
      <vertAlign val="superscript"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2" fillId="0" borderId="0" applyFon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2" xfId="0" applyBorder="1">
      <alignment vertical="center"/>
    </xf>
    <xf numFmtId="38" fontId="0" fillId="0" borderId="0" xfId="1" applyFont="1">
      <alignment vertical="center"/>
    </xf>
    <xf numFmtId="38" fontId="0" fillId="0" borderId="2" xfId="1" applyFont="1" applyBorder="1">
      <alignment vertical="center"/>
    </xf>
    <xf numFmtId="0" fontId="0" fillId="0" borderId="1" xfId="0" applyBorder="1">
      <alignment vertical="center"/>
    </xf>
    <xf numFmtId="177" fontId="0" fillId="0" borderId="0" xfId="0" applyNumberFormat="1">
      <alignment vertical="center"/>
    </xf>
    <xf numFmtId="0" fontId="3" fillId="2" borderId="1" xfId="0" applyFont="1" applyFill="1" applyBorder="1" applyAlignment="1">
      <alignment horizontal="centerContinuous" vertical="center"/>
    </xf>
    <xf numFmtId="0" fontId="3" fillId="3" borderId="1" xfId="0" applyFont="1" applyFill="1" applyBorder="1" applyAlignment="1">
      <alignment horizontal="center" vertical="center"/>
    </xf>
    <xf numFmtId="176" fontId="0" fillId="0" borderId="2" xfId="0" applyNumberForma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Continuous" vertical="center"/>
    </xf>
    <xf numFmtId="0" fontId="3" fillId="0" borderId="0" xfId="0" applyFont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0" fillId="3" borderId="1" xfId="0" applyFill="1" applyBorder="1">
      <alignment vertical="center"/>
    </xf>
    <xf numFmtId="0" fontId="3" fillId="4" borderId="2" xfId="0" applyFont="1" applyFill="1" applyBorder="1" applyAlignment="1">
      <alignment horizontal="left" vertical="center"/>
    </xf>
    <xf numFmtId="178" fontId="0" fillId="0" borderId="2" xfId="0" applyNumberFormat="1" applyBorder="1">
      <alignment vertical="center"/>
    </xf>
    <xf numFmtId="2" fontId="0" fillId="0" borderId="0" xfId="0" applyNumberFormat="1">
      <alignment vertical="center"/>
    </xf>
    <xf numFmtId="179" fontId="0" fillId="0" borderId="0" xfId="0" applyNumberFormat="1">
      <alignment vertical="center"/>
    </xf>
    <xf numFmtId="0" fontId="0" fillId="4" borderId="1" xfId="0" applyFill="1" applyBorder="1">
      <alignment vertical="center"/>
    </xf>
    <xf numFmtId="0" fontId="3" fillId="4" borderId="1" xfId="0" applyFont="1" applyFill="1" applyBorder="1" applyAlignment="1">
      <alignment horizontal="center" vertical="center"/>
    </xf>
    <xf numFmtId="38" fontId="0" fillId="0" borderId="1" xfId="0" applyNumberFormat="1" applyBorder="1">
      <alignment vertical="center"/>
    </xf>
    <xf numFmtId="177" fontId="0" fillId="0" borderId="1" xfId="0" applyNumberFormat="1" applyBorder="1">
      <alignment vertical="center"/>
    </xf>
    <xf numFmtId="176" fontId="0" fillId="0" borderId="0" xfId="0" applyNumberFormat="1">
      <alignment vertical="center"/>
    </xf>
    <xf numFmtId="0" fontId="10" fillId="0" borderId="0" xfId="0" applyFont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'サンプルサイズとP値 (作成例)'!$C$5</c:f>
              <c:strCache>
                <c:ptCount val="1"/>
                <c:pt idx="0">
                  <c:v>P値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'サンプルサイズとP値 (作成例)'!$A$6:$A$205</c:f>
              <c:numCache>
                <c:formatCode>General</c:formatCode>
                <c:ptCount val="20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1010</c:v>
                </c:pt>
                <c:pt idx="101">
                  <c:v>1020</c:v>
                </c:pt>
                <c:pt idx="102">
                  <c:v>1030</c:v>
                </c:pt>
                <c:pt idx="103">
                  <c:v>1040</c:v>
                </c:pt>
                <c:pt idx="104">
                  <c:v>1050</c:v>
                </c:pt>
                <c:pt idx="105">
                  <c:v>1060</c:v>
                </c:pt>
                <c:pt idx="106">
                  <c:v>1070</c:v>
                </c:pt>
                <c:pt idx="107">
                  <c:v>1080</c:v>
                </c:pt>
                <c:pt idx="108">
                  <c:v>1090</c:v>
                </c:pt>
                <c:pt idx="109">
                  <c:v>1100</c:v>
                </c:pt>
                <c:pt idx="110">
                  <c:v>1110</c:v>
                </c:pt>
                <c:pt idx="111">
                  <c:v>1120</c:v>
                </c:pt>
                <c:pt idx="112">
                  <c:v>1130</c:v>
                </c:pt>
                <c:pt idx="113">
                  <c:v>1140</c:v>
                </c:pt>
                <c:pt idx="114">
                  <c:v>1150</c:v>
                </c:pt>
                <c:pt idx="115">
                  <c:v>1160</c:v>
                </c:pt>
                <c:pt idx="116">
                  <c:v>1170</c:v>
                </c:pt>
                <c:pt idx="117">
                  <c:v>1180</c:v>
                </c:pt>
                <c:pt idx="118">
                  <c:v>1190</c:v>
                </c:pt>
                <c:pt idx="119">
                  <c:v>1200</c:v>
                </c:pt>
                <c:pt idx="120">
                  <c:v>1210</c:v>
                </c:pt>
                <c:pt idx="121">
                  <c:v>1220</c:v>
                </c:pt>
                <c:pt idx="122">
                  <c:v>1230</c:v>
                </c:pt>
                <c:pt idx="123">
                  <c:v>1240</c:v>
                </c:pt>
                <c:pt idx="124">
                  <c:v>1250</c:v>
                </c:pt>
                <c:pt idx="125">
                  <c:v>1260</c:v>
                </c:pt>
                <c:pt idx="126">
                  <c:v>1270</c:v>
                </c:pt>
                <c:pt idx="127">
                  <c:v>1280</c:v>
                </c:pt>
                <c:pt idx="128">
                  <c:v>1290</c:v>
                </c:pt>
                <c:pt idx="129">
                  <c:v>1300</c:v>
                </c:pt>
                <c:pt idx="130">
                  <c:v>1310</c:v>
                </c:pt>
                <c:pt idx="131">
                  <c:v>1320</c:v>
                </c:pt>
                <c:pt idx="132">
                  <c:v>1330</c:v>
                </c:pt>
                <c:pt idx="133">
                  <c:v>1340</c:v>
                </c:pt>
                <c:pt idx="134">
                  <c:v>1350</c:v>
                </c:pt>
                <c:pt idx="135">
                  <c:v>1360</c:v>
                </c:pt>
                <c:pt idx="136">
                  <c:v>1370</c:v>
                </c:pt>
                <c:pt idx="137">
                  <c:v>1380</c:v>
                </c:pt>
                <c:pt idx="138">
                  <c:v>1390</c:v>
                </c:pt>
                <c:pt idx="139">
                  <c:v>1400</c:v>
                </c:pt>
                <c:pt idx="140">
                  <c:v>1410</c:v>
                </c:pt>
                <c:pt idx="141">
                  <c:v>1420</c:v>
                </c:pt>
                <c:pt idx="142">
                  <c:v>1430</c:v>
                </c:pt>
                <c:pt idx="143">
                  <c:v>1440</c:v>
                </c:pt>
                <c:pt idx="144">
                  <c:v>1450</c:v>
                </c:pt>
                <c:pt idx="145">
                  <c:v>1460</c:v>
                </c:pt>
                <c:pt idx="146">
                  <c:v>1470</c:v>
                </c:pt>
                <c:pt idx="147">
                  <c:v>1480</c:v>
                </c:pt>
                <c:pt idx="148">
                  <c:v>1490</c:v>
                </c:pt>
                <c:pt idx="149">
                  <c:v>1500</c:v>
                </c:pt>
                <c:pt idx="150">
                  <c:v>1510</c:v>
                </c:pt>
                <c:pt idx="151">
                  <c:v>1520</c:v>
                </c:pt>
                <c:pt idx="152">
                  <c:v>1530</c:v>
                </c:pt>
                <c:pt idx="153">
                  <c:v>1540</c:v>
                </c:pt>
                <c:pt idx="154">
                  <c:v>1550</c:v>
                </c:pt>
                <c:pt idx="155">
                  <c:v>1560</c:v>
                </c:pt>
                <c:pt idx="156">
                  <c:v>1570</c:v>
                </c:pt>
                <c:pt idx="157">
                  <c:v>1580</c:v>
                </c:pt>
                <c:pt idx="158">
                  <c:v>1590</c:v>
                </c:pt>
                <c:pt idx="159">
                  <c:v>1600</c:v>
                </c:pt>
                <c:pt idx="160">
                  <c:v>1610</c:v>
                </c:pt>
                <c:pt idx="161">
                  <c:v>1620</c:v>
                </c:pt>
                <c:pt idx="162">
                  <c:v>1630</c:v>
                </c:pt>
                <c:pt idx="163">
                  <c:v>1640</c:v>
                </c:pt>
                <c:pt idx="164">
                  <c:v>1650</c:v>
                </c:pt>
                <c:pt idx="165">
                  <c:v>1660</c:v>
                </c:pt>
                <c:pt idx="166">
                  <c:v>1670</c:v>
                </c:pt>
                <c:pt idx="167">
                  <c:v>1680</c:v>
                </c:pt>
                <c:pt idx="168">
                  <c:v>1690</c:v>
                </c:pt>
                <c:pt idx="169">
                  <c:v>1700</c:v>
                </c:pt>
                <c:pt idx="170">
                  <c:v>1710</c:v>
                </c:pt>
                <c:pt idx="171">
                  <c:v>1720</c:v>
                </c:pt>
                <c:pt idx="172">
                  <c:v>1730</c:v>
                </c:pt>
                <c:pt idx="173">
                  <c:v>1740</c:v>
                </c:pt>
                <c:pt idx="174">
                  <c:v>1750</c:v>
                </c:pt>
                <c:pt idx="175">
                  <c:v>1760</c:v>
                </c:pt>
                <c:pt idx="176">
                  <c:v>1770</c:v>
                </c:pt>
                <c:pt idx="177">
                  <c:v>1780</c:v>
                </c:pt>
                <c:pt idx="178">
                  <c:v>1790</c:v>
                </c:pt>
                <c:pt idx="179">
                  <c:v>1800</c:v>
                </c:pt>
                <c:pt idx="180">
                  <c:v>1810</c:v>
                </c:pt>
                <c:pt idx="181">
                  <c:v>1820</c:v>
                </c:pt>
                <c:pt idx="182">
                  <c:v>1830</c:v>
                </c:pt>
                <c:pt idx="183">
                  <c:v>1840</c:v>
                </c:pt>
                <c:pt idx="184">
                  <c:v>1850</c:v>
                </c:pt>
                <c:pt idx="185">
                  <c:v>1860</c:v>
                </c:pt>
                <c:pt idx="186">
                  <c:v>1870</c:v>
                </c:pt>
                <c:pt idx="187">
                  <c:v>1880</c:v>
                </c:pt>
                <c:pt idx="188">
                  <c:v>1890</c:v>
                </c:pt>
                <c:pt idx="189">
                  <c:v>1900</c:v>
                </c:pt>
                <c:pt idx="190">
                  <c:v>1910</c:v>
                </c:pt>
                <c:pt idx="191">
                  <c:v>1920</c:v>
                </c:pt>
                <c:pt idx="192">
                  <c:v>1930</c:v>
                </c:pt>
                <c:pt idx="193">
                  <c:v>1940</c:v>
                </c:pt>
                <c:pt idx="194">
                  <c:v>1950</c:v>
                </c:pt>
                <c:pt idx="195">
                  <c:v>1960</c:v>
                </c:pt>
                <c:pt idx="196">
                  <c:v>1970</c:v>
                </c:pt>
                <c:pt idx="197">
                  <c:v>1980</c:v>
                </c:pt>
                <c:pt idx="198">
                  <c:v>1990</c:v>
                </c:pt>
                <c:pt idx="199">
                  <c:v>2000</c:v>
                </c:pt>
              </c:numCache>
            </c:numRef>
          </c:cat>
          <c:val>
            <c:numRef>
              <c:f>'サンプルサイズとP値 (作成例)'!$C$6:$C$205</c:f>
              <c:numCache>
                <c:formatCode>0.0000</c:formatCode>
                <c:ptCount val="200"/>
                <c:pt idx="0">
                  <c:v>0.99846246811984229</c:v>
                </c:pt>
                <c:pt idx="1">
                  <c:v>0.99383570916785335</c:v>
                </c:pt>
                <c:pt idx="2">
                  <c:v>0.98763082380823941</c:v>
                </c:pt>
                <c:pt idx="3">
                  <c:v>0.98029706081318801</c:v>
                </c:pt>
                <c:pt idx="4">
                  <c:v>0.97208372449351144</c:v>
                </c:pt>
                <c:pt idx="5">
                  <c:v>0.96315851862622293</c:v>
                </c:pt>
                <c:pt idx="6">
                  <c:v>0.95364530269948133</c:v>
                </c:pt>
                <c:pt idx="7">
                  <c:v>0.94364078403655216</c:v>
                </c:pt>
                <c:pt idx="8">
                  <c:v>0.93322329051717445</c:v>
                </c:pt>
                <c:pt idx="9">
                  <c:v>0.92245792176938812</c:v>
                </c:pt>
                <c:pt idx="10">
                  <c:v>0.91139981958232386</c:v>
                </c:pt>
                <c:pt idx="11">
                  <c:v>0.90009636896995804</c:v>
                </c:pt>
                <c:pt idx="12">
                  <c:v>0.88858874828661882</c:v>
                </c:pt>
                <c:pt idx="13">
                  <c:v>0.87691306130799895</c:v>
                </c:pt>
                <c:pt idx="14">
                  <c:v>0.86510118900567157</c:v>
                </c:pt>
                <c:pt idx="15">
                  <c:v>0.85318144654490236</c:v>
                </c:pt>
                <c:pt idx="16">
                  <c:v>0.84117910082071012</c:v>
                </c:pt>
                <c:pt idx="17">
                  <c:v>0.82911678555249058</c:v>
                </c:pt>
                <c:pt idx="18">
                  <c:v>0.81701483945046982</c:v>
                </c:pt>
                <c:pt idx="19">
                  <c:v>0.80489158548907103</c:v>
                </c:pt>
                <c:pt idx="20">
                  <c:v>0.79276356432245532</c:v>
                </c:pt>
                <c:pt idx="21">
                  <c:v>0.78064573145046667</c:v>
                </c:pt>
                <c:pt idx="22">
                  <c:v>0.7685516253418867</c:v>
                </c:pt>
                <c:pt idx="23">
                  <c:v>0.75649351200598358</c:v>
                </c:pt>
                <c:pt idx="24">
                  <c:v>0.74448251025536527</c:v>
                </c:pt>
                <c:pt idx="25">
                  <c:v>0.73252870098100842</c:v>
                </c:pt>
                <c:pt idx="26">
                  <c:v>0.72064122306901268</c:v>
                </c:pt>
                <c:pt idx="27">
                  <c:v>0.70882835806353106</c:v>
                </c:pt>
                <c:pt idx="28">
                  <c:v>0.69709760527662346</c:v>
                </c:pt>
                <c:pt idx="29">
                  <c:v>0.68545574873197623</c:v>
                </c:pt>
                <c:pt idx="30">
                  <c:v>0.67390891708296952</c:v>
                </c:pt>
                <c:pt idx="31">
                  <c:v>0.66246263745020784</c:v>
                </c:pt>
                <c:pt idx="32">
                  <c:v>0.6511218839673687</c:v>
                </c:pt>
                <c:pt idx="33">
                  <c:v>0.63989112169821505</c:v>
                </c:pt>
                <c:pt idx="34">
                  <c:v>0.62877434648524888</c:v>
                </c:pt>
                <c:pt idx="35">
                  <c:v>0.61777512120671196</c:v>
                </c:pt>
                <c:pt idx="36">
                  <c:v>0.60689660884959662</c:v>
                </c:pt>
                <c:pt idx="37">
                  <c:v>0.59614160274913974</c:v>
                </c:pt>
                <c:pt idx="38">
                  <c:v>0.5855125542975198</c:v>
                </c:pt>
                <c:pt idx="39">
                  <c:v>0.57501159838448612</c:v>
                </c:pt>
                <c:pt idx="40">
                  <c:v>0.56464057679888502</c:v>
                </c:pt>
                <c:pt idx="41">
                  <c:v>0.55440105979147092</c:v>
                </c:pt>
                <c:pt idx="42">
                  <c:v>0.54429436597504355</c:v>
                </c:pt>
                <c:pt idx="43">
                  <c:v>0.5343215807171402</c:v>
                </c:pt>
                <c:pt idx="44">
                  <c:v>0.52448357316263383</c:v>
                </c:pt>
                <c:pt idx="45">
                  <c:v>0.51478101200816884</c:v>
                </c:pt>
                <c:pt idx="46">
                  <c:v>0.50521438013701725</c:v>
                </c:pt>
                <c:pt idx="47">
                  <c:v>0.4957839882113495</c:v>
                </c:pt>
                <c:pt idx="48">
                  <c:v>0.4864899873087829</c:v>
                </c:pt>
                <c:pt idx="49">
                  <c:v>0.47733238068124773</c:v>
                </c:pt>
                <c:pt idx="50">
                  <c:v>0.46831103470641411</c:v>
                </c:pt>
                <c:pt idx="51">
                  <c:v>0.45942568909510773</c:v>
                </c:pt>
                <c:pt idx="52">
                  <c:v>0.45067596641208407</c:v>
                </c:pt>
                <c:pt idx="53">
                  <c:v>0.44206138096220271</c:v>
                </c:pt>
                <c:pt idx="54">
                  <c:v>0.43358134708926088</c:v>
                </c:pt>
                <c:pt idx="55">
                  <c:v>0.42523518693055717</c:v>
                </c:pt>
                <c:pt idx="56">
                  <c:v>0.41702213766643959</c:v>
                </c:pt>
                <c:pt idx="57">
                  <c:v>0.40894135830074363</c:v>
                </c:pt>
                <c:pt idx="58">
                  <c:v>0.40099193600497995</c:v>
                </c:pt>
                <c:pt idx="59">
                  <c:v>0.39317289205642003</c:v>
                </c:pt>
                <c:pt idx="60">
                  <c:v>0.38548318739775922</c:v>
                </c:pt>
                <c:pt idx="61">
                  <c:v>0.37792172784383904</c:v>
                </c:pt>
                <c:pt idx="62">
                  <c:v>0.37048736895889972</c:v>
                </c:pt>
                <c:pt idx="63">
                  <c:v>0.36317892062601437</c:v>
                </c:pt>
                <c:pt idx="64">
                  <c:v>0.35599515132872095</c:v>
                </c:pt>
                <c:pt idx="65">
                  <c:v>0.34893479216335788</c:v>
                </c:pt>
                <c:pt idx="66">
                  <c:v>0.3419965405992515</c:v>
                </c:pt>
                <c:pt idx="67">
                  <c:v>0.33517906400265696</c:v>
                </c:pt>
                <c:pt idx="68">
                  <c:v>0.32848100293920884</c:v>
                </c:pt>
                <c:pt idx="69">
                  <c:v>0.32190097426860648</c:v>
                </c:pt>
                <c:pt idx="70">
                  <c:v>0.3154375740442944</c:v>
                </c:pt>
                <c:pt idx="71">
                  <c:v>0.3090893802300268</c:v>
                </c:pt>
                <c:pt idx="72">
                  <c:v>0.30285495524439432</c:v>
                </c:pt>
                <c:pt idx="73">
                  <c:v>0.29673284834365088</c:v>
                </c:pt>
                <c:pt idx="74">
                  <c:v>0.29072159785249746</c:v>
                </c:pt>
                <c:pt idx="75">
                  <c:v>0.28481973325184073</c:v>
                </c:pt>
                <c:pt idx="76">
                  <c:v>0.27902577713196802</c:v>
                </c:pt>
                <c:pt idx="77">
                  <c:v>0.27333824701903564</c:v>
                </c:pt>
                <c:pt idx="78">
                  <c:v>0.26775565708227139</c:v>
                </c:pt>
                <c:pt idx="79">
                  <c:v>0.26227651972882515</c:v>
                </c:pt>
                <c:pt idx="80">
                  <c:v>0.25689934709277362</c:v>
                </c:pt>
                <c:pt idx="81">
                  <c:v>0.25162265242438542</c:v>
                </c:pt>
                <c:pt idx="82">
                  <c:v>0.24644495138538014</c:v>
                </c:pt>
                <c:pt idx="83">
                  <c:v>0.24136476325557088</c:v>
                </c:pt>
                <c:pt idx="84">
                  <c:v>0.23638061205595456</c:v>
                </c:pt>
                <c:pt idx="85">
                  <c:v>0.23149102759301898</c:v>
                </c:pt>
                <c:pt idx="86">
                  <c:v>0.22669454642875037</c:v>
                </c:pt>
                <c:pt idx="87">
                  <c:v>0.22198971278056459</c:v>
                </c:pt>
                <c:pt idx="88">
                  <c:v>0.21737507935514239</c:v>
                </c:pt>
                <c:pt idx="89">
                  <c:v>0.21284920811992031</c:v>
                </c:pt>
                <c:pt idx="90">
                  <c:v>0.20841067101576805</c:v>
                </c:pt>
                <c:pt idx="91">
                  <c:v>0.20405805061419385</c:v>
                </c:pt>
                <c:pt idx="92">
                  <c:v>0.19978994072222087</c:v>
                </c:pt>
                <c:pt idx="93">
                  <c:v>0.19560494693790551</c:v>
                </c:pt>
                <c:pt idx="94">
                  <c:v>0.19150168715930446</c:v>
                </c:pt>
                <c:pt idx="95">
                  <c:v>0.18747879204953746</c:v>
                </c:pt>
                <c:pt idx="96">
                  <c:v>0.18353490546045126</c:v>
                </c:pt>
                <c:pt idx="97">
                  <c:v>0.17966868481724782</c:v>
                </c:pt>
                <c:pt idx="98">
                  <c:v>0.17587880146631499</c:v>
                </c:pt>
                <c:pt idx="99">
                  <c:v>0.17216394098837512</c:v>
                </c:pt>
                <c:pt idx="100">
                  <c:v>0.16852280347894785</c:v>
                </c:pt>
                <c:pt idx="101">
                  <c:v>0.16495410379802339</c:v>
                </c:pt>
                <c:pt idx="102">
                  <c:v>0.16145657179073264</c:v>
                </c:pt>
                <c:pt idx="103">
                  <c:v>0.15802895248071272</c:v>
                </c:pt>
                <c:pt idx="104">
                  <c:v>0.15467000623776597</c:v>
                </c:pt>
                <c:pt idx="105">
                  <c:v>0.15137850892133509</c:v>
                </c:pt>
                <c:pt idx="106">
                  <c:v>0.14815325200122931</c:v>
                </c:pt>
                <c:pt idx="107">
                  <c:v>0.14499304265696333</c:v>
                </c:pt>
                <c:pt idx="108">
                  <c:v>0.14189670385699665</c:v>
                </c:pt>
                <c:pt idx="109">
                  <c:v>0.13886307441909723</c:v>
                </c:pt>
                <c:pt idx="110">
                  <c:v>0.13589100905298135</c:v>
                </c:pt>
                <c:pt idx="111">
                  <c:v>0.13297937838632873</c:v>
                </c:pt>
                <c:pt idx="112">
                  <c:v>0.1301270689752087</c:v>
                </c:pt>
                <c:pt idx="113">
                  <c:v>0.12733298329990053</c:v>
                </c:pt>
                <c:pt idx="114">
                  <c:v>0.12459603974704025</c:v>
                </c:pt>
                <c:pt idx="115">
                  <c:v>0.1219151725789754</c:v>
                </c:pt>
                <c:pt idx="116">
                  <c:v>0.11928933189116321</c:v>
                </c:pt>
                <c:pt idx="117">
                  <c:v>0.11671748355840676</c:v>
                </c:pt>
                <c:pt idx="118">
                  <c:v>0.1141986091706757</c:v>
                </c:pt>
                <c:pt idx="119">
                  <c:v>0.11173170595922538</c:v>
                </c:pt>
                <c:pt idx="120">
                  <c:v>0.10931578671368687</c:v>
                </c:pt>
                <c:pt idx="121">
                  <c:v>0.10694987969076497</c:v>
                </c:pt>
                <c:pt idx="122">
                  <c:v>0.10463302851514894</c:v>
                </c:pt>
                <c:pt idx="123">
                  <c:v>0.10236429207320927</c:v>
                </c:pt>
                <c:pt idx="124">
                  <c:v>0.10014274440001904</c:v>
                </c:pt>
                <c:pt idx="125">
                  <c:v>9.7967474560217704E-2</c:v>
                </c:pt>
                <c:pt idx="126">
                  <c:v>9.5837586523197307E-2</c:v>
                </c:pt>
                <c:pt idx="127">
                  <c:v>9.3752199033076189E-2</c:v>
                </c:pt>
                <c:pt idx="128">
                  <c:v>9.1710445473891344E-2</c:v>
                </c:pt>
                <c:pt idx="129">
                  <c:v>8.9711473730423097E-2</c:v>
                </c:pt>
                <c:pt idx="130">
                  <c:v>8.7754446045040874E-2</c:v>
                </c:pt>
                <c:pt idx="131">
                  <c:v>8.5838538870937856E-2</c:v>
                </c:pt>
                <c:pt idx="132">
                  <c:v>8.3962942722103751E-2</c:v>
                </c:pt>
                <c:pt idx="133">
                  <c:v>8.2126862020364275E-2</c:v>
                </c:pt>
                <c:pt idx="134">
                  <c:v>8.0329514939797925E-2</c:v>
                </c:pt>
                <c:pt idx="135">
                  <c:v>7.857013324882467E-2</c:v>
                </c:pt>
                <c:pt idx="136">
                  <c:v>7.6847962150243004E-2</c:v>
                </c:pt>
                <c:pt idx="137">
                  <c:v>7.5162260119478991E-2</c:v>
                </c:pt>
                <c:pt idx="138">
                  <c:v>7.3512298741291782E-2</c:v>
                </c:pt>
                <c:pt idx="139">
                  <c:v>7.1897362545172011E-2</c:v>
                </c:pt>
                <c:pt idx="140">
                  <c:v>7.0316748839648807E-2</c:v>
                </c:pt>
                <c:pt idx="141">
                  <c:v>6.876976754571705E-2</c:v>
                </c:pt>
                <c:pt idx="142">
                  <c:v>6.7255741029575405E-2</c:v>
                </c:pt>
                <c:pt idx="143">
                  <c:v>6.577400393486256E-2</c:v>
                </c:pt>
                <c:pt idx="144">
                  <c:v>6.4323903014560993E-2</c:v>
                </c:pt>
                <c:pt idx="145">
                  <c:v>6.2904796962733489E-2</c:v>
                </c:pt>
                <c:pt idx="146">
                  <c:v>6.151605624624254E-2</c:v>
                </c:pt>
                <c:pt idx="147">
                  <c:v>6.0157062936597547E-2</c:v>
                </c:pt>
                <c:pt idx="148">
                  <c:v>5.8827210542062622E-2</c:v>
                </c:pt>
                <c:pt idx="149">
                  <c:v>5.752590384015225E-2</c:v>
                </c:pt>
                <c:pt idx="150">
                  <c:v>5.6252558710631062E-2</c:v>
                </c:pt>
                <c:pt idx="151">
                  <c:v>5.5006601969129529E-2</c:v>
                </c:pt>
                <c:pt idx="152">
                  <c:v>5.3787471201476866E-2</c:v>
                </c:pt>
                <c:pt idx="153">
                  <c:v>5.2594614598849038E-2</c:v>
                </c:pt>
                <c:pt idx="154">
                  <c:v>5.1427490793819461E-2</c:v>
                </c:pt>
                <c:pt idx="155">
                  <c:v>5.0285568697397733E-2</c:v>
                </c:pt>
                <c:pt idx="156">
                  <c:v>4.9168327337131876E-2</c:v>
                </c:pt>
                <c:pt idx="157">
                  <c:v>4.807525569634806E-2</c:v>
                </c:pt>
                <c:pt idx="158">
                  <c:v>4.7005852554592456E-2</c:v>
                </c:pt>
                <c:pt idx="159">
                  <c:v>4.5959626329338157E-2</c:v>
                </c:pt>
                <c:pt idx="160">
                  <c:v>4.4936094919013382E-2</c:v>
                </c:pt>
                <c:pt idx="161">
                  <c:v>4.393478554740287E-2</c:v>
                </c:pt>
                <c:pt idx="162">
                  <c:v>4.2955234609471753E-2</c:v>
                </c:pt>
                <c:pt idx="163">
                  <c:v>4.1996987518653717E-2</c:v>
                </c:pt>
                <c:pt idx="164">
                  <c:v>4.105959855564556E-2</c:v>
                </c:pt>
                <c:pt idx="165">
                  <c:v>4.0142630718743452E-2</c:v>
                </c:pt>
                <c:pt idx="166">
                  <c:v>3.9245655575753317E-2</c:v>
                </c:pt>
                <c:pt idx="167">
                  <c:v>3.8368253117506565E-2</c:v>
                </c:pt>
                <c:pt idx="168">
                  <c:v>3.7510011613006169E-2</c:v>
                </c:pt>
                <c:pt idx="169">
                  <c:v>3.667052746622728E-2</c:v>
                </c:pt>
                <c:pt idx="170">
                  <c:v>3.5849405074593381E-2</c:v>
                </c:pt>
                <c:pt idx="171">
                  <c:v>3.5046256689145724E-2</c:v>
                </c:pt>
                <c:pt idx="172">
                  <c:v>3.4260702276422014E-2</c:v>
                </c:pt>
                <c:pt idx="173">
                  <c:v>3.3492369382057727E-2</c:v>
                </c:pt>
                <c:pt idx="174">
                  <c:v>3.274089299612061E-2</c:v>
                </c:pt>
                <c:pt idx="175">
                  <c:v>3.2005915420188463E-2</c:v>
                </c:pt>
                <c:pt idx="176">
                  <c:v>3.128708613617618E-2</c:v>
                </c:pt>
                <c:pt idx="177">
                  <c:v>3.0584061676917931E-2</c:v>
                </c:pt>
                <c:pt idx="178">
                  <c:v>2.9896505498507336E-2</c:v>
                </c:pt>
                <c:pt idx="179">
                  <c:v>2.9224087854398142E-2</c:v>
                </c:pt>
                <c:pt idx="180">
                  <c:v>2.8566485671265126E-2</c:v>
                </c:pt>
                <c:pt idx="181">
                  <c:v>2.7923382426623896E-2</c:v>
                </c:pt>
                <c:pt idx="182">
                  <c:v>2.7294468028207494E-2</c:v>
                </c:pt>
                <c:pt idx="183">
                  <c:v>2.667943869509538E-2</c:v>
                </c:pt>
                <c:pt idx="184">
                  <c:v>2.6077996840590065E-2</c:v>
                </c:pt>
                <c:pt idx="185">
                  <c:v>2.5489850956834984E-2</c:v>
                </c:pt>
                <c:pt idx="186">
                  <c:v>2.4914715501166116E-2</c:v>
                </c:pt>
                <c:pt idx="187">
                  <c:v>2.4352310784189743E-2</c:v>
                </c:pt>
                <c:pt idx="188">
                  <c:v>2.3802362859576234E-2</c:v>
                </c:pt>
                <c:pt idx="189">
                  <c:v>2.3264603415560456E-2</c:v>
                </c:pt>
                <c:pt idx="190">
                  <c:v>2.2738769668137617E-2</c:v>
                </c:pt>
                <c:pt idx="191">
                  <c:v>2.2224604255942981E-2</c:v>
                </c:pt>
                <c:pt idx="192">
                  <c:v>2.1721855136803303E-2</c:v>
                </c:pt>
                <c:pt idx="193">
                  <c:v>2.1230275485946731E-2</c:v>
                </c:pt>
                <c:pt idx="194">
                  <c:v>2.074962359585766E-2</c:v>
                </c:pt>
                <c:pt idx="195">
                  <c:v>2.0279662777762875E-2</c:v>
                </c:pt>
                <c:pt idx="196">
                  <c:v>1.9820161264733689E-2</c:v>
                </c:pt>
                <c:pt idx="197">
                  <c:v>1.9370892116389676E-2</c:v>
                </c:pt>
                <c:pt idx="198">
                  <c:v>1.8931633125187777E-2</c:v>
                </c:pt>
                <c:pt idx="199">
                  <c:v>1.8502166724281857E-2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E3-475A-B29E-271081C675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7248576"/>
        <c:axId val="1805932896"/>
      </c:lineChart>
      <c:catAx>
        <c:axId val="1457248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05932896"/>
        <c:crosses val="autoZero"/>
        <c:auto val="1"/>
        <c:lblAlgn val="ctr"/>
        <c:lblOffset val="100"/>
        <c:tickMarkSkip val="1"/>
        <c:noMultiLvlLbl val="0"/>
      </c:catAx>
      <c:valAx>
        <c:axId val="180593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57248576"/>
        <c:crosses val="autoZero"/>
        <c:crossBetween val="between"/>
        <c:majorUnit val="5.000000000000001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681039</xdr:colOff>
      <xdr:row>9</xdr:row>
      <xdr:rowOff>200024</xdr:rowOff>
    </xdr:from>
    <xdr:to>
      <xdr:col>17</xdr:col>
      <xdr:colOff>66677</xdr:colOff>
      <xdr:row>12</xdr:row>
      <xdr:rowOff>164075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556F17CD-8DFE-1779-6216-E1B704389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11014" y="2233612"/>
          <a:ext cx="2814638" cy="63556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</xdr:colOff>
      <xdr:row>4</xdr:row>
      <xdr:rowOff>0</xdr:rowOff>
    </xdr:from>
    <xdr:to>
      <xdr:col>12</xdr:col>
      <xdr:colOff>1</xdr:colOff>
      <xdr:row>22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9980F03-C27E-4AC0-9642-B27C8C86AF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612571</xdr:colOff>
      <xdr:row>23</xdr:row>
      <xdr:rowOff>0</xdr:rowOff>
    </xdr:from>
    <xdr:to>
      <xdr:col>12</xdr:col>
      <xdr:colOff>0</xdr:colOff>
      <xdr:row>26</xdr:row>
      <xdr:rowOff>96605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58271E92-266C-FDBD-EAAC-13C3945A4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13171" y="5167313"/>
          <a:ext cx="2816429" cy="768117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C015B-A697-429A-8F6D-46EC0D99698E}">
  <dimension ref="A1:O173"/>
  <sheetViews>
    <sheetView tabSelected="1" workbookViewId="0">
      <selection activeCell="L4" sqref="L4"/>
    </sheetView>
  </sheetViews>
  <sheetFormatPr defaultRowHeight="17.649999999999999" x14ac:dyDescent="0.7"/>
  <cols>
    <col min="1" max="1" width="13.5" customWidth="1"/>
    <col min="2" max="2" width="13.6875" customWidth="1"/>
    <col min="3" max="3" width="12.625" customWidth="1"/>
    <col min="4" max="4" width="8.3125" customWidth="1"/>
    <col min="5" max="5" width="11.6875" customWidth="1"/>
    <col min="6" max="6" width="11.1875" customWidth="1"/>
    <col min="8" max="8" width="12.5" customWidth="1"/>
    <col min="9" max="9" width="14.6875" customWidth="1"/>
    <col min="11" max="11" width="20" customWidth="1"/>
    <col min="12" max="15" width="9" customWidth="1"/>
  </cols>
  <sheetData>
    <row r="1" spans="1:15" x14ac:dyDescent="0.7">
      <c r="A1" s="6" t="s">
        <v>98</v>
      </c>
      <c r="B1" s="11"/>
    </row>
    <row r="3" spans="1:15" x14ac:dyDescent="0.7">
      <c r="A3" s="10" t="s">
        <v>0</v>
      </c>
      <c r="B3" s="10" t="s">
        <v>1</v>
      </c>
      <c r="C3" s="10" t="s">
        <v>2</v>
      </c>
      <c r="D3" s="10" t="s">
        <v>3</v>
      </c>
      <c r="E3" s="10" t="s">
        <v>97</v>
      </c>
      <c r="F3" s="10" t="s">
        <v>4</v>
      </c>
      <c r="G3" s="10" t="s">
        <v>5</v>
      </c>
      <c r="H3" s="10" t="s">
        <v>6</v>
      </c>
      <c r="I3" s="10" t="s">
        <v>7</v>
      </c>
      <c r="K3" s="15"/>
      <c r="L3" s="7" t="s">
        <v>100</v>
      </c>
      <c r="M3" s="7" t="s">
        <v>101</v>
      </c>
      <c r="N3" s="7" t="s">
        <v>99</v>
      </c>
      <c r="O3" s="7" t="s">
        <v>102</v>
      </c>
    </row>
    <row r="4" spans="1:15" x14ac:dyDescent="0.7">
      <c r="A4" t="s">
        <v>8</v>
      </c>
      <c r="B4" t="s">
        <v>9</v>
      </c>
      <c r="C4" t="s">
        <v>10</v>
      </c>
      <c r="D4">
        <v>2016</v>
      </c>
      <c r="E4" s="2">
        <v>55000</v>
      </c>
      <c r="F4" s="2">
        <v>2500</v>
      </c>
      <c r="G4" t="s">
        <v>11</v>
      </c>
      <c r="H4" t="s">
        <v>12</v>
      </c>
      <c r="I4" s="2">
        <v>160</v>
      </c>
      <c r="K4" s="14" t="s">
        <v>103</v>
      </c>
      <c r="L4" s="5"/>
      <c r="M4" s="5"/>
      <c r="N4" s="5"/>
      <c r="O4" s="18"/>
    </row>
    <row r="5" spans="1:15" x14ac:dyDescent="0.7">
      <c r="A5" t="s">
        <v>13</v>
      </c>
      <c r="B5" t="s">
        <v>14</v>
      </c>
      <c r="C5" t="s">
        <v>15</v>
      </c>
      <c r="D5">
        <v>2018</v>
      </c>
      <c r="E5" s="2">
        <v>40000</v>
      </c>
      <c r="F5" s="2">
        <v>2000</v>
      </c>
      <c r="G5" t="s">
        <v>16</v>
      </c>
      <c r="H5" t="s">
        <v>17</v>
      </c>
      <c r="I5" s="2">
        <v>170</v>
      </c>
      <c r="K5" s="14" t="s">
        <v>104</v>
      </c>
      <c r="L5" s="5"/>
      <c r="M5" s="5"/>
      <c r="N5" s="5"/>
      <c r="O5" s="18"/>
    </row>
    <row r="6" spans="1:15" ht="19.149999999999999" x14ac:dyDescent="0.7">
      <c r="A6" t="s">
        <v>18</v>
      </c>
      <c r="B6" t="s">
        <v>19</v>
      </c>
      <c r="C6" t="s">
        <v>20</v>
      </c>
      <c r="D6">
        <v>2019</v>
      </c>
      <c r="E6" s="2">
        <v>20000</v>
      </c>
      <c r="F6" s="2">
        <v>660</v>
      </c>
      <c r="G6" t="s">
        <v>11</v>
      </c>
      <c r="H6" t="s">
        <v>17</v>
      </c>
      <c r="I6" s="2">
        <v>80</v>
      </c>
      <c r="K6" s="14" t="s">
        <v>106</v>
      </c>
      <c r="L6" s="5"/>
      <c r="M6" s="5"/>
    </row>
    <row r="7" spans="1:15" x14ac:dyDescent="0.7">
      <c r="A7" t="s">
        <v>21</v>
      </c>
      <c r="B7" t="s">
        <v>22</v>
      </c>
      <c r="C7" t="s">
        <v>10</v>
      </c>
      <c r="D7">
        <v>2016</v>
      </c>
      <c r="E7" s="2">
        <v>55000</v>
      </c>
      <c r="F7" s="2">
        <v>2500</v>
      </c>
      <c r="G7" t="s">
        <v>11</v>
      </c>
      <c r="H7" t="s">
        <v>23</v>
      </c>
      <c r="I7" s="2">
        <v>160</v>
      </c>
      <c r="K7" s="14" t="s">
        <v>107</v>
      </c>
      <c r="L7" s="5"/>
    </row>
    <row r="8" spans="1:15" x14ac:dyDescent="0.7">
      <c r="A8" t="s">
        <v>13</v>
      </c>
      <c r="B8" t="s">
        <v>24</v>
      </c>
      <c r="C8" t="s">
        <v>15</v>
      </c>
      <c r="D8">
        <v>2017</v>
      </c>
      <c r="E8" s="2">
        <v>35000</v>
      </c>
      <c r="F8" s="2">
        <v>2500</v>
      </c>
      <c r="G8" t="s">
        <v>16</v>
      </c>
      <c r="H8" t="s">
        <v>25</v>
      </c>
      <c r="I8" s="2">
        <v>200</v>
      </c>
      <c r="K8" s="16" t="s">
        <v>108</v>
      </c>
      <c r="L8" s="17"/>
      <c r="M8" s="17"/>
      <c r="N8" s="1"/>
      <c r="O8" s="1"/>
    </row>
    <row r="9" spans="1:15" x14ac:dyDescent="0.7">
      <c r="A9" t="s">
        <v>26</v>
      </c>
      <c r="B9" t="s">
        <v>27</v>
      </c>
      <c r="C9" t="s">
        <v>28</v>
      </c>
      <c r="D9">
        <v>2019</v>
      </c>
      <c r="E9" s="2">
        <v>40000</v>
      </c>
      <c r="F9" s="2">
        <v>2500</v>
      </c>
      <c r="G9" t="s">
        <v>16</v>
      </c>
      <c r="H9" t="s">
        <v>29</v>
      </c>
      <c r="I9" s="2">
        <v>80</v>
      </c>
      <c r="K9" s="9"/>
      <c r="L9" s="8"/>
    </row>
    <row r="10" spans="1:15" x14ac:dyDescent="0.7">
      <c r="A10" t="s">
        <v>30</v>
      </c>
      <c r="B10" t="s">
        <v>31</v>
      </c>
      <c r="C10" t="s">
        <v>32</v>
      </c>
      <c r="D10">
        <v>1962</v>
      </c>
      <c r="E10" s="2">
        <v>70000</v>
      </c>
      <c r="F10" s="2">
        <v>1600</v>
      </c>
      <c r="G10" t="s">
        <v>33</v>
      </c>
      <c r="H10" t="s">
        <v>34</v>
      </c>
      <c r="I10" s="2">
        <v>550</v>
      </c>
      <c r="K10" s="13" t="s">
        <v>105</v>
      </c>
      <c r="L10" s="4"/>
    </row>
    <row r="11" spans="1:15" x14ac:dyDescent="0.7">
      <c r="A11" t="s">
        <v>35</v>
      </c>
      <c r="B11">
        <v>911</v>
      </c>
      <c r="C11" t="s">
        <v>36</v>
      </c>
      <c r="D11">
        <v>2020</v>
      </c>
      <c r="E11" s="2">
        <v>15000</v>
      </c>
      <c r="F11" s="2">
        <v>3000</v>
      </c>
      <c r="G11" t="s">
        <v>16</v>
      </c>
      <c r="H11" t="s">
        <v>37</v>
      </c>
      <c r="I11" s="2">
        <v>450</v>
      </c>
    </row>
    <row r="12" spans="1:15" x14ac:dyDescent="0.7">
      <c r="A12" t="s">
        <v>26</v>
      </c>
      <c r="B12" t="s">
        <v>38</v>
      </c>
      <c r="C12" t="s">
        <v>20</v>
      </c>
      <c r="D12">
        <v>2017</v>
      </c>
      <c r="E12" s="2">
        <v>30000</v>
      </c>
      <c r="F12" s="2">
        <v>1000</v>
      </c>
      <c r="G12" t="s">
        <v>11</v>
      </c>
      <c r="H12" t="s">
        <v>25</v>
      </c>
      <c r="I12" s="2">
        <v>85</v>
      </c>
      <c r="K12" s="12"/>
    </row>
    <row r="13" spans="1:15" x14ac:dyDescent="0.7">
      <c r="A13" t="s">
        <v>13</v>
      </c>
      <c r="B13" t="s">
        <v>39</v>
      </c>
      <c r="C13" t="s">
        <v>36</v>
      </c>
      <c r="D13">
        <v>2017</v>
      </c>
      <c r="E13" s="2">
        <v>40000</v>
      </c>
      <c r="F13" s="2">
        <v>2000</v>
      </c>
      <c r="G13" t="s">
        <v>33</v>
      </c>
      <c r="H13" t="s">
        <v>40</v>
      </c>
      <c r="I13" s="2">
        <v>120</v>
      </c>
      <c r="K13" s="12"/>
    </row>
    <row r="14" spans="1:15" x14ac:dyDescent="0.7">
      <c r="A14" t="s">
        <v>18</v>
      </c>
      <c r="B14" t="s">
        <v>41</v>
      </c>
      <c r="C14" t="s">
        <v>20</v>
      </c>
      <c r="D14">
        <v>2016</v>
      </c>
      <c r="E14" s="2">
        <v>65000</v>
      </c>
      <c r="F14" s="2">
        <v>1400</v>
      </c>
      <c r="G14" t="s">
        <v>33</v>
      </c>
      <c r="H14" t="s">
        <v>42</v>
      </c>
      <c r="I14" s="2">
        <v>100</v>
      </c>
      <c r="K14" s="12"/>
    </row>
    <row r="15" spans="1:15" x14ac:dyDescent="0.7">
      <c r="A15" t="s">
        <v>43</v>
      </c>
      <c r="B15" t="s">
        <v>44</v>
      </c>
      <c r="C15" t="s">
        <v>10</v>
      </c>
      <c r="D15">
        <v>2019</v>
      </c>
      <c r="E15" s="2">
        <v>25000</v>
      </c>
      <c r="F15" s="2">
        <v>0</v>
      </c>
      <c r="H15" t="s">
        <v>17</v>
      </c>
      <c r="I15" s="2">
        <v>300</v>
      </c>
    </row>
    <row r="16" spans="1:15" x14ac:dyDescent="0.7">
      <c r="A16" t="s">
        <v>45</v>
      </c>
      <c r="B16" t="s">
        <v>46</v>
      </c>
      <c r="C16" t="s">
        <v>15</v>
      </c>
      <c r="D16">
        <v>2017</v>
      </c>
      <c r="E16" s="2">
        <v>50000</v>
      </c>
      <c r="F16" s="2">
        <v>2000</v>
      </c>
      <c r="G16" t="s">
        <v>16</v>
      </c>
      <c r="H16" t="s">
        <v>23</v>
      </c>
      <c r="I16" s="2">
        <v>240</v>
      </c>
      <c r="K16" s="12"/>
    </row>
    <row r="17" spans="1:11" x14ac:dyDescent="0.7">
      <c r="A17" t="s">
        <v>13</v>
      </c>
      <c r="B17" t="s">
        <v>47</v>
      </c>
      <c r="C17" t="s">
        <v>20</v>
      </c>
      <c r="D17">
        <v>2015</v>
      </c>
      <c r="E17" s="2">
        <v>65000</v>
      </c>
      <c r="F17" s="2">
        <v>1300</v>
      </c>
      <c r="G17" t="s">
        <v>33</v>
      </c>
      <c r="H17" t="s">
        <v>40</v>
      </c>
      <c r="I17" s="2">
        <v>80</v>
      </c>
      <c r="K17" s="12"/>
    </row>
    <row r="18" spans="1:11" x14ac:dyDescent="0.7">
      <c r="A18" t="s">
        <v>26</v>
      </c>
      <c r="B18" t="s">
        <v>48</v>
      </c>
      <c r="C18" t="s">
        <v>49</v>
      </c>
      <c r="D18">
        <v>2014</v>
      </c>
      <c r="E18" s="2">
        <v>80000</v>
      </c>
      <c r="F18" s="2">
        <v>1000</v>
      </c>
      <c r="G18" t="s">
        <v>11</v>
      </c>
      <c r="H18" t="s">
        <v>29</v>
      </c>
      <c r="I18" s="2">
        <v>28</v>
      </c>
      <c r="K18" s="12"/>
    </row>
    <row r="19" spans="1:11" x14ac:dyDescent="0.7">
      <c r="A19" t="s">
        <v>50</v>
      </c>
      <c r="B19" t="s">
        <v>51</v>
      </c>
      <c r="C19" t="s">
        <v>49</v>
      </c>
      <c r="D19">
        <v>2017</v>
      </c>
      <c r="E19" s="2">
        <v>55000</v>
      </c>
      <c r="F19" s="2">
        <v>1300</v>
      </c>
      <c r="G19" t="s">
        <v>33</v>
      </c>
      <c r="H19" t="s">
        <v>23</v>
      </c>
      <c r="I19" s="2">
        <v>120</v>
      </c>
      <c r="K19" s="12"/>
    </row>
    <row r="20" spans="1:11" x14ac:dyDescent="0.7">
      <c r="A20" t="s">
        <v>21</v>
      </c>
      <c r="B20" t="s">
        <v>52</v>
      </c>
      <c r="C20" t="s">
        <v>10</v>
      </c>
      <c r="D20">
        <v>2017</v>
      </c>
      <c r="E20" s="2">
        <v>40000</v>
      </c>
      <c r="F20" s="2">
        <v>1600</v>
      </c>
      <c r="G20" t="s">
        <v>11</v>
      </c>
      <c r="H20" t="s">
        <v>25</v>
      </c>
      <c r="I20" s="2">
        <v>120</v>
      </c>
    </row>
    <row r="21" spans="1:11" x14ac:dyDescent="0.7">
      <c r="A21" t="s">
        <v>18</v>
      </c>
      <c r="B21" t="s">
        <v>53</v>
      </c>
      <c r="C21" t="s">
        <v>54</v>
      </c>
      <c r="D21">
        <v>2015</v>
      </c>
      <c r="E21" s="2">
        <v>70000</v>
      </c>
      <c r="F21" s="2">
        <v>1200</v>
      </c>
      <c r="G21" t="s">
        <v>11</v>
      </c>
      <c r="H21" t="s">
        <v>29</v>
      </c>
      <c r="I21" s="2">
        <v>28</v>
      </c>
    </row>
    <row r="22" spans="1:11" x14ac:dyDescent="0.7">
      <c r="A22" t="s">
        <v>8</v>
      </c>
      <c r="B22" t="s">
        <v>55</v>
      </c>
      <c r="C22" t="s">
        <v>54</v>
      </c>
      <c r="D22">
        <v>2016</v>
      </c>
      <c r="E22" s="2">
        <v>50000</v>
      </c>
      <c r="F22" s="2">
        <v>1600</v>
      </c>
      <c r="G22" t="s">
        <v>11</v>
      </c>
      <c r="H22" t="s">
        <v>56</v>
      </c>
      <c r="I22" s="2">
        <v>150</v>
      </c>
    </row>
    <row r="23" spans="1:11" x14ac:dyDescent="0.7">
      <c r="A23" t="s">
        <v>50</v>
      </c>
      <c r="B23" t="s">
        <v>57</v>
      </c>
      <c r="C23" t="s">
        <v>54</v>
      </c>
      <c r="D23">
        <v>2018</v>
      </c>
      <c r="E23" s="2">
        <v>24000</v>
      </c>
      <c r="F23" s="2">
        <v>660</v>
      </c>
      <c r="G23" t="s">
        <v>11</v>
      </c>
      <c r="H23" t="s">
        <v>17</v>
      </c>
      <c r="I23" s="2">
        <v>76</v>
      </c>
    </row>
    <row r="24" spans="1:11" x14ac:dyDescent="0.7">
      <c r="A24" t="s">
        <v>26</v>
      </c>
      <c r="B24" t="s">
        <v>58</v>
      </c>
      <c r="C24" t="s">
        <v>59</v>
      </c>
      <c r="D24">
        <v>2017</v>
      </c>
      <c r="E24" s="2">
        <v>60000</v>
      </c>
      <c r="F24" s="2">
        <v>2000</v>
      </c>
      <c r="G24" t="s">
        <v>11</v>
      </c>
      <c r="H24" t="s">
        <v>34</v>
      </c>
      <c r="I24" s="2">
        <v>170</v>
      </c>
    </row>
    <row r="25" spans="1:11" x14ac:dyDescent="0.7">
      <c r="A25" t="s">
        <v>35</v>
      </c>
      <c r="B25">
        <v>911</v>
      </c>
      <c r="C25" t="s">
        <v>36</v>
      </c>
      <c r="D25">
        <v>1985</v>
      </c>
      <c r="E25" s="2">
        <v>80000</v>
      </c>
      <c r="F25" s="2">
        <v>3200</v>
      </c>
      <c r="G25" t="s">
        <v>33</v>
      </c>
      <c r="H25" t="s">
        <v>23</v>
      </c>
      <c r="I25" s="2">
        <v>300</v>
      </c>
    </row>
    <row r="26" spans="1:11" x14ac:dyDescent="0.7">
      <c r="A26" t="s">
        <v>50</v>
      </c>
      <c r="B26" t="s">
        <v>60</v>
      </c>
      <c r="C26" t="s">
        <v>61</v>
      </c>
      <c r="D26">
        <v>2010</v>
      </c>
      <c r="E26" s="2">
        <v>120000</v>
      </c>
      <c r="F26" s="2">
        <v>1300</v>
      </c>
      <c r="G26" t="s">
        <v>11</v>
      </c>
      <c r="H26" t="s">
        <v>29</v>
      </c>
      <c r="I26" s="2">
        <v>25</v>
      </c>
    </row>
    <row r="27" spans="1:11" x14ac:dyDescent="0.7">
      <c r="A27" t="s">
        <v>21</v>
      </c>
      <c r="B27" t="s">
        <v>62</v>
      </c>
      <c r="C27" t="s">
        <v>10</v>
      </c>
      <c r="D27">
        <v>2016</v>
      </c>
      <c r="E27" s="2">
        <v>70000</v>
      </c>
      <c r="F27" s="2">
        <v>1600</v>
      </c>
      <c r="G27" t="s">
        <v>11</v>
      </c>
      <c r="H27" t="s">
        <v>42</v>
      </c>
      <c r="I27" s="2">
        <v>100</v>
      </c>
    </row>
    <row r="28" spans="1:11" x14ac:dyDescent="0.7">
      <c r="A28" t="s">
        <v>26</v>
      </c>
      <c r="B28" t="s">
        <v>63</v>
      </c>
      <c r="C28" t="s">
        <v>20</v>
      </c>
      <c r="D28">
        <v>2018</v>
      </c>
      <c r="E28" s="2">
        <v>24000</v>
      </c>
      <c r="F28" s="2">
        <v>660</v>
      </c>
      <c r="G28" t="s">
        <v>11</v>
      </c>
      <c r="H28" t="s">
        <v>34</v>
      </c>
      <c r="I28" s="2">
        <v>75</v>
      </c>
    </row>
    <row r="29" spans="1:11" x14ac:dyDescent="0.7">
      <c r="A29" t="s">
        <v>64</v>
      </c>
      <c r="B29" t="s">
        <v>65</v>
      </c>
      <c r="C29" t="s">
        <v>10</v>
      </c>
      <c r="D29">
        <v>2019</v>
      </c>
      <c r="E29" s="2">
        <v>28000</v>
      </c>
      <c r="F29" s="2">
        <v>2000</v>
      </c>
      <c r="G29" t="s">
        <v>16</v>
      </c>
      <c r="H29" t="s">
        <v>17</v>
      </c>
      <c r="I29" s="2">
        <v>270</v>
      </c>
    </row>
    <row r="30" spans="1:11" x14ac:dyDescent="0.7">
      <c r="A30" t="s">
        <v>26</v>
      </c>
      <c r="B30" t="s">
        <v>66</v>
      </c>
      <c r="C30" t="s">
        <v>61</v>
      </c>
      <c r="D30">
        <v>2013</v>
      </c>
      <c r="E30" s="2">
        <v>90000</v>
      </c>
      <c r="F30" s="2">
        <v>1800</v>
      </c>
      <c r="G30" t="s">
        <v>11</v>
      </c>
      <c r="H30" t="s">
        <v>29</v>
      </c>
      <c r="I30" s="2">
        <v>35</v>
      </c>
    </row>
    <row r="31" spans="1:11" x14ac:dyDescent="0.7">
      <c r="A31" t="s">
        <v>50</v>
      </c>
      <c r="B31" t="s">
        <v>67</v>
      </c>
      <c r="C31" t="s">
        <v>49</v>
      </c>
      <c r="D31">
        <v>2018</v>
      </c>
      <c r="E31" s="2">
        <v>40000</v>
      </c>
      <c r="F31" s="2">
        <v>1500</v>
      </c>
      <c r="G31" t="s">
        <v>11</v>
      </c>
      <c r="H31" t="s">
        <v>17</v>
      </c>
      <c r="I31" s="2">
        <v>160</v>
      </c>
    </row>
    <row r="32" spans="1:11" x14ac:dyDescent="0.7">
      <c r="A32" t="s">
        <v>21</v>
      </c>
      <c r="B32" t="s">
        <v>68</v>
      </c>
      <c r="C32" t="s">
        <v>36</v>
      </c>
      <c r="D32">
        <v>2016</v>
      </c>
      <c r="E32" s="2">
        <v>60000</v>
      </c>
      <c r="F32" s="2">
        <v>3700</v>
      </c>
      <c r="G32" t="s">
        <v>33</v>
      </c>
      <c r="H32" t="s">
        <v>34</v>
      </c>
      <c r="I32" s="2">
        <v>250</v>
      </c>
    </row>
    <row r="33" spans="1:9" x14ac:dyDescent="0.7">
      <c r="A33" t="s">
        <v>50</v>
      </c>
      <c r="B33" t="s">
        <v>69</v>
      </c>
      <c r="C33" t="s">
        <v>54</v>
      </c>
      <c r="D33">
        <v>2018</v>
      </c>
      <c r="E33" s="2">
        <v>22000</v>
      </c>
      <c r="F33" s="2">
        <v>660</v>
      </c>
      <c r="G33" t="s">
        <v>11</v>
      </c>
      <c r="H33" t="s">
        <v>70</v>
      </c>
      <c r="I33" s="2">
        <v>90</v>
      </c>
    </row>
    <row r="34" spans="1:9" x14ac:dyDescent="0.7">
      <c r="A34" t="s">
        <v>71</v>
      </c>
      <c r="B34" t="s">
        <v>72</v>
      </c>
      <c r="C34" t="s">
        <v>10</v>
      </c>
      <c r="D34">
        <v>2018</v>
      </c>
      <c r="E34" s="2">
        <v>36000</v>
      </c>
      <c r="F34" s="2">
        <v>2500</v>
      </c>
      <c r="G34" t="s">
        <v>16</v>
      </c>
      <c r="H34" t="s">
        <v>73</v>
      </c>
      <c r="I34" s="2">
        <v>290</v>
      </c>
    </row>
    <row r="35" spans="1:9" x14ac:dyDescent="0.7">
      <c r="A35" t="s">
        <v>50</v>
      </c>
      <c r="B35" t="s">
        <v>74</v>
      </c>
      <c r="C35" t="s">
        <v>49</v>
      </c>
      <c r="D35">
        <v>2017</v>
      </c>
      <c r="E35" s="2">
        <v>48000</v>
      </c>
      <c r="F35" s="2">
        <v>1300</v>
      </c>
      <c r="G35" t="s">
        <v>11</v>
      </c>
      <c r="H35" t="s">
        <v>75</v>
      </c>
      <c r="I35" s="2">
        <v>150</v>
      </c>
    </row>
    <row r="36" spans="1:9" x14ac:dyDescent="0.7">
      <c r="A36" t="s">
        <v>50</v>
      </c>
      <c r="B36" t="s">
        <v>51</v>
      </c>
      <c r="C36" t="s">
        <v>49</v>
      </c>
      <c r="D36">
        <v>2008</v>
      </c>
      <c r="E36" s="2">
        <v>150000</v>
      </c>
      <c r="F36" s="2">
        <v>1300</v>
      </c>
      <c r="G36" t="s">
        <v>11</v>
      </c>
      <c r="H36" t="s">
        <v>29</v>
      </c>
      <c r="I36" s="2">
        <v>30</v>
      </c>
    </row>
    <row r="37" spans="1:9" x14ac:dyDescent="0.7">
      <c r="A37" t="s">
        <v>21</v>
      </c>
      <c r="B37" t="s">
        <v>76</v>
      </c>
      <c r="C37" t="s">
        <v>15</v>
      </c>
      <c r="D37">
        <v>2019</v>
      </c>
      <c r="E37" s="2">
        <v>30000</v>
      </c>
      <c r="F37" s="2">
        <v>3500</v>
      </c>
      <c r="G37" t="s">
        <v>11</v>
      </c>
      <c r="H37" t="s">
        <v>77</v>
      </c>
      <c r="I37" s="2">
        <v>220</v>
      </c>
    </row>
    <row r="38" spans="1:9" x14ac:dyDescent="0.7">
      <c r="A38" t="s">
        <v>13</v>
      </c>
      <c r="B38" t="s">
        <v>78</v>
      </c>
      <c r="C38" t="s">
        <v>36</v>
      </c>
      <c r="D38">
        <v>2017</v>
      </c>
      <c r="E38" s="2">
        <v>40000</v>
      </c>
      <c r="F38" s="2">
        <v>2000</v>
      </c>
      <c r="G38" t="s">
        <v>33</v>
      </c>
      <c r="H38" t="s">
        <v>40</v>
      </c>
      <c r="I38" s="2">
        <v>120</v>
      </c>
    </row>
    <row r="39" spans="1:9" x14ac:dyDescent="0.7">
      <c r="A39" t="s">
        <v>21</v>
      </c>
      <c r="B39" t="s">
        <v>79</v>
      </c>
      <c r="C39" t="s">
        <v>59</v>
      </c>
      <c r="D39">
        <v>2016</v>
      </c>
      <c r="E39" s="2">
        <v>60000</v>
      </c>
      <c r="F39" s="2">
        <v>2500</v>
      </c>
      <c r="G39" t="s">
        <v>11</v>
      </c>
      <c r="H39" t="s">
        <v>80</v>
      </c>
      <c r="I39" s="2">
        <v>150</v>
      </c>
    </row>
    <row r="40" spans="1:9" x14ac:dyDescent="0.7">
      <c r="A40" t="s">
        <v>81</v>
      </c>
      <c r="B40" t="s">
        <v>82</v>
      </c>
      <c r="C40" t="s">
        <v>54</v>
      </c>
      <c r="D40">
        <v>2019</v>
      </c>
      <c r="E40" s="2">
        <v>18000</v>
      </c>
      <c r="F40" s="2">
        <v>660</v>
      </c>
      <c r="G40" t="s">
        <v>11</v>
      </c>
      <c r="H40" t="s">
        <v>73</v>
      </c>
      <c r="I40" s="2">
        <v>80</v>
      </c>
    </row>
    <row r="41" spans="1:9" x14ac:dyDescent="0.7">
      <c r="A41" t="s">
        <v>21</v>
      </c>
      <c r="B41" t="s">
        <v>62</v>
      </c>
      <c r="C41" t="s">
        <v>10</v>
      </c>
      <c r="D41">
        <v>2016</v>
      </c>
      <c r="E41" s="2">
        <v>70000</v>
      </c>
      <c r="F41" s="2">
        <v>1600</v>
      </c>
      <c r="G41" t="s">
        <v>11</v>
      </c>
      <c r="H41" t="s">
        <v>42</v>
      </c>
      <c r="I41" s="2">
        <v>100</v>
      </c>
    </row>
    <row r="42" spans="1:9" x14ac:dyDescent="0.7">
      <c r="A42" t="s">
        <v>26</v>
      </c>
      <c r="B42" t="s">
        <v>83</v>
      </c>
      <c r="C42" t="s">
        <v>59</v>
      </c>
      <c r="D42">
        <v>2012</v>
      </c>
      <c r="E42" s="2">
        <v>100000</v>
      </c>
      <c r="F42" s="2">
        <v>2000</v>
      </c>
      <c r="G42" t="s">
        <v>11</v>
      </c>
      <c r="H42" t="s">
        <v>29</v>
      </c>
      <c r="I42" s="2">
        <v>32</v>
      </c>
    </row>
    <row r="43" spans="1:9" x14ac:dyDescent="0.7">
      <c r="A43" t="s">
        <v>50</v>
      </c>
      <c r="B43" t="s">
        <v>84</v>
      </c>
      <c r="C43" t="s">
        <v>10</v>
      </c>
      <c r="D43">
        <v>2020</v>
      </c>
      <c r="E43" s="2">
        <v>20000</v>
      </c>
      <c r="F43" s="2">
        <v>1800</v>
      </c>
      <c r="G43" t="s">
        <v>11</v>
      </c>
      <c r="H43" t="s">
        <v>29</v>
      </c>
      <c r="I43" s="2">
        <v>70</v>
      </c>
    </row>
    <row r="44" spans="1:9" x14ac:dyDescent="0.7">
      <c r="A44" t="s">
        <v>64</v>
      </c>
      <c r="B44" t="s">
        <v>85</v>
      </c>
      <c r="C44" t="s">
        <v>10</v>
      </c>
      <c r="D44">
        <v>2016</v>
      </c>
      <c r="E44" s="2">
        <v>58000</v>
      </c>
      <c r="F44" s="2">
        <v>2000</v>
      </c>
      <c r="G44" t="s">
        <v>16</v>
      </c>
      <c r="H44" t="s">
        <v>40</v>
      </c>
      <c r="I44" s="2">
        <v>240</v>
      </c>
    </row>
    <row r="45" spans="1:9" x14ac:dyDescent="0.7">
      <c r="A45" t="s">
        <v>86</v>
      </c>
      <c r="B45" t="s">
        <v>87</v>
      </c>
      <c r="C45" t="s">
        <v>10</v>
      </c>
      <c r="D45">
        <v>2019</v>
      </c>
      <c r="E45" s="2">
        <v>30000</v>
      </c>
      <c r="F45" s="2">
        <v>2000</v>
      </c>
      <c r="G45" t="s">
        <v>16</v>
      </c>
      <c r="H45" t="s">
        <v>70</v>
      </c>
      <c r="I45" s="2">
        <v>260</v>
      </c>
    </row>
    <row r="46" spans="1:9" x14ac:dyDescent="0.7">
      <c r="A46" t="s">
        <v>8</v>
      </c>
      <c r="B46" t="s">
        <v>88</v>
      </c>
      <c r="C46" t="s">
        <v>15</v>
      </c>
      <c r="D46">
        <v>2017</v>
      </c>
      <c r="E46" s="2">
        <v>40000</v>
      </c>
      <c r="F46" s="2">
        <v>1600</v>
      </c>
      <c r="G46" t="s">
        <v>11</v>
      </c>
      <c r="H46" t="s">
        <v>12</v>
      </c>
      <c r="I46" s="2">
        <v>130</v>
      </c>
    </row>
    <row r="47" spans="1:9" x14ac:dyDescent="0.7">
      <c r="A47" t="s">
        <v>50</v>
      </c>
      <c r="B47" t="s">
        <v>89</v>
      </c>
      <c r="C47" t="s">
        <v>54</v>
      </c>
      <c r="D47">
        <v>2017</v>
      </c>
      <c r="E47" s="2">
        <v>25000</v>
      </c>
      <c r="F47" s="2">
        <v>660</v>
      </c>
      <c r="G47" t="s">
        <v>11</v>
      </c>
      <c r="H47" t="s">
        <v>40</v>
      </c>
      <c r="I47" s="2">
        <v>85</v>
      </c>
    </row>
    <row r="48" spans="1:9" x14ac:dyDescent="0.7">
      <c r="A48" t="s">
        <v>50</v>
      </c>
      <c r="B48" t="s">
        <v>90</v>
      </c>
      <c r="C48" t="s">
        <v>15</v>
      </c>
      <c r="D48">
        <v>2017</v>
      </c>
      <c r="E48" s="2">
        <v>50000</v>
      </c>
      <c r="F48" s="2">
        <v>1800</v>
      </c>
      <c r="G48" t="s">
        <v>11</v>
      </c>
      <c r="H48" t="s">
        <v>75</v>
      </c>
      <c r="I48" s="2">
        <v>150</v>
      </c>
    </row>
    <row r="49" spans="1:9" x14ac:dyDescent="0.7">
      <c r="A49" t="s">
        <v>18</v>
      </c>
      <c r="B49" t="s">
        <v>91</v>
      </c>
      <c r="C49" t="s">
        <v>49</v>
      </c>
      <c r="D49">
        <v>2007</v>
      </c>
      <c r="E49" s="2">
        <v>180000</v>
      </c>
      <c r="F49" s="2">
        <v>1200</v>
      </c>
      <c r="G49" t="s">
        <v>33</v>
      </c>
      <c r="H49" t="s">
        <v>29</v>
      </c>
      <c r="I49" s="2">
        <v>20</v>
      </c>
    </row>
    <row r="50" spans="1:9" x14ac:dyDescent="0.7">
      <c r="A50" t="s">
        <v>26</v>
      </c>
      <c r="B50" t="s">
        <v>66</v>
      </c>
      <c r="C50" t="s">
        <v>61</v>
      </c>
      <c r="D50">
        <v>2017</v>
      </c>
      <c r="E50" s="2">
        <v>45000</v>
      </c>
      <c r="F50" s="2">
        <v>1800</v>
      </c>
      <c r="G50" t="s">
        <v>11</v>
      </c>
      <c r="H50" t="s">
        <v>92</v>
      </c>
      <c r="I50" s="2">
        <v>180</v>
      </c>
    </row>
    <row r="51" spans="1:9" x14ac:dyDescent="0.7">
      <c r="A51" t="s">
        <v>21</v>
      </c>
      <c r="B51" t="s">
        <v>62</v>
      </c>
      <c r="C51" t="s">
        <v>49</v>
      </c>
      <c r="D51">
        <v>2012</v>
      </c>
      <c r="E51" s="2">
        <v>100000</v>
      </c>
      <c r="F51" s="2">
        <v>1500</v>
      </c>
      <c r="G51" t="s">
        <v>16</v>
      </c>
      <c r="H51" t="s">
        <v>29</v>
      </c>
      <c r="I51" s="2">
        <v>25</v>
      </c>
    </row>
    <row r="52" spans="1:9" x14ac:dyDescent="0.7">
      <c r="A52" t="s">
        <v>93</v>
      </c>
      <c r="B52" t="s">
        <v>94</v>
      </c>
      <c r="C52" t="s">
        <v>15</v>
      </c>
      <c r="D52">
        <v>2018</v>
      </c>
      <c r="E52" s="2">
        <v>32000</v>
      </c>
      <c r="F52" s="2">
        <v>3000</v>
      </c>
      <c r="G52" t="s">
        <v>16</v>
      </c>
      <c r="H52" t="s">
        <v>77</v>
      </c>
      <c r="I52" s="2">
        <v>360</v>
      </c>
    </row>
    <row r="53" spans="1:9" x14ac:dyDescent="0.7">
      <c r="A53" t="s">
        <v>35</v>
      </c>
      <c r="B53" t="s">
        <v>95</v>
      </c>
      <c r="C53" t="s">
        <v>15</v>
      </c>
      <c r="D53">
        <v>2019</v>
      </c>
      <c r="E53" s="2">
        <v>22000</v>
      </c>
      <c r="F53" s="2">
        <v>3000</v>
      </c>
      <c r="G53" t="s">
        <v>16</v>
      </c>
      <c r="H53" t="s">
        <v>96</v>
      </c>
      <c r="I53" s="2">
        <v>380</v>
      </c>
    </row>
    <row r="54" spans="1:9" x14ac:dyDescent="0.7">
      <c r="E54" s="2"/>
      <c r="F54" s="2"/>
      <c r="I54" s="2"/>
    </row>
    <row r="55" spans="1:9" x14ac:dyDescent="0.7">
      <c r="E55" s="2"/>
      <c r="F55" s="2"/>
      <c r="I55" s="2"/>
    </row>
    <row r="56" spans="1:9" x14ac:dyDescent="0.7">
      <c r="E56" s="2"/>
      <c r="F56" s="2"/>
      <c r="I56" s="2"/>
    </row>
    <row r="57" spans="1:9" x14ac:dyDescent="0.7">
      <c r="E57" s="2"/>
      <c r="F57" s="2"/>
      <c r="I57" s="2"/>
    </row>
    <row r="58" spans="1:9" x14ac:dyDescent="0.7">
      <c r="E58" s="2"/>
      <c r="F58" s="2"/>
      <c r="I58" s="2"/>
    </row>
    <row r="59" spans="1:9" x14ac:dyDescent="0.7">
      <c r="E59" s="2"/>
      <c r="F59" s="2"/>
      <c r="I59" s="2"/>
    </row>
    <row r="60" spans="1:9" x14ac:dyDescent="0.7">
      <c r="E60" s="2"/>
      <c r="F60" s="2"/>
      <c r="I60" s="2"/>
    </row>
    <row r="61" spans="1:9" x14ac:dyDescent="0.7">
      <c r="E61" s="2"/>
      <c r="F61" s="2"/>
      <c r="I61" s="2"/>
    </row>
    <row r="62" spans="1:9" x14ac:dyDescent="0.7">
      <c r="E62" s="2"/>
      <c r="F62" s="2"/>
      <c r="I62" s="2"/>
    </row>
    <row r="63" spans="1:9" x14ac:dyDescent="0.7">
      <c r="E63" s="2"/>
      <c r="F63" s="2"/>
      <c r="I63" s="2"/>
    </row>
    <row r="64" spans="1:9" x14ac:dyDescent="0.7">
      <c r="E64" s="2"/>
      <c r="F64" s="2"/>
      <c r="I64" s="2"/>
    </row>
    <row r="65" spans="5:9" x14ac:dyDescent="0.7">
      <c r="E65" s="2"/>
      <c r="F65" s="2"/>
      <c r="I65" s="2"/>
    </row>
    <row r="66" spans="5:9" x14ac:dyDescent="0.7">
      <c r="E66" s="2"/>
      <c r="F66" s="2"/>
      <c r="I66" s="2"/>
    </row>
    <row r="67" spans="5:9" x14ac:dyDescent="0.7">
      <c r="E67" s="2"/>
      <c r="F67" s="2"/>
      <c r="I67" s="2"/>
    </row>
    <row r="68" spans="5:9" x14ac:dyDescent="0.7">
      <c r="E68" s="2"/>
      <c r="F68" s="2"/>
      <c r="I68" s="2"/>
    </row>
    <row r="69" spans="5:9" x14ac:dyDescent="0.7">
      <c r="E69" s="2"/>
      <c r="F69" s="2"/>
      <c r="I69" s="2"/>
    </row>
    <row r="70" spans="5:9" x14ac:dyDescent="0.7">
      <c r="E70" s="2"/>
      <c r="F70" s="2"/>
      <c r="I70" s="2"/>
    </row>
    <row r="71" spans="5:9" x14ac:dyDescent="0.7">
      <c r="E71" s="2"/>
      <c r="F71" s="2"/>
      <c r="I71" s="2"/>
    </row>
    <row r="72" spans="5:9" x14ac:dyDescent="0.7">
      <c r="E72" s="2"/>
      <c r="F72" s="2"/>
      <c r="I72" s="2"/>
    </row>
    <row r="73" spans="5:9" x14ac:dyDescent="0.7">
      <c r="E73" s="2"/>
      <c r="F73" s="2"/>
      <c r="I73" s="2"/>
    </row>
    <row r="74" spans="5:9" x14ac:dyDescent="0.7">
      <c r="E74" s="2"/>
      <c r="F74" s="2"/>
      <c r="I74" s="2"/>
    </row>
    <row r="75" spans="5:9" x14ac:dyDescent="0.7">
      <c r="E75" s="2"/>
      <c r="F75" s="2"/>
      <c r="I75" s="2"/>
    </row>
    <row r="76" spans="5:9" x14ac:dyDescent="0.7">
      <c r="E76" s="2"/>
      <c r="F76" s="2"/>
      <c r="I76" s="2"/>
    </row>
    <row r="77" spans="5:9" x14ac:dyDescent="0.7">
      <c r="E77" s="2"/>
      <c r="F77" s="2"/>
      <c r="I77" s="2"/>
    </row>
    <row r="78" spans="5:9" x14ac:dyDescent="0.7">
      <c r="E78" s="2"/>
      <c r="F78" s="2"/>
      <c r="I78" s="2"/>
    </row>
    <row r="79" spans="5:9" x14ac:dyDescent="0.7">
      <c r="E79" s="2"/>
      <c r="F79" s="2"/>
      <c r="I79" s="2"/>
    </row>
    <row r="80" spans="5:9" x14ac:dyDescent="0.7">
      <c r="E80" s="2"/>
      <c r="F80" s="2"/>
      <c r="I80" s="2"/>
    </row>
    <row r="81" spans="5:9" x14ac:dyDescent="0.7">
      <c r="E81" s="2"/>
      <c r="F81" s="2"/>
      <c r="I81" s="2"/>
    </row>
    <row r="82" spans="5:9" x14ac:dyDescent="0.7">
      <c r="E82" s="2"/>
      <c r="F82" s="2"/>
      <c r="I82" s="2"/>
    </row>
    <row r="83" spans="5:9" x14ac:dyDescent="0.7">
      <c r="E83" s="2"/>
      <c r="F83" s="2"/>
      <c r="I83" s="2"/>
    </row>
    <row r="84" spans="5:9" x14ac:dyDescent="0.7">
      <c r="E84" s="2"/>
      <c r="F84" s="2"/>
      <c r="I84" s="2"/>
    </row>
    <row r="85" spans="5:9" x14ac:dyDescent="0.7">
      <c r="E85" s="2"/>
      <c r="F85" s="2"/>
      <c r="I85" s="2"/>
    </row>
    <row r="86" spans="5:9" x14ac:dyDescent="0.7">
      <c r="E86" s="2"/>
      <c r="F86" s="2"/>
      <c r="I86" s="2"/>
    </row>
    <row r="87" spans="5:9" x14ac:dyDescent="0.7">
      <c r="E87" s="2"/>
      <c r="F87" s="2"/>
      <c r="I87" s="2"/>
    </row>
    <row r="88" spans="5:9" x14ac:dyDescent="0.7">
      <c r="E88" s="2"/>
      <c r="F88" s="2"/>
      <c r="I88" s="2"/>
    </row>
    <row r="89" spans="5:9" x14ac:dyDescent="0.7">
      <c r="E89" s="2"/>
      <c r="F89" s="2"/>
      <c r="I89" s="2"/>
    </row>
    <row r="90" spans="5:9" x14ac:dyDescent="0.7">
      <c r="E90" s="2"/>
      <c r="F90" s="2"/>
      <c r="I90" s="2"/>
    </row>
    <row r="91" spans="5:9" x14ac:dyDescent="0.7">
      <c r="E91" s="2"/>
      <c r="F91" s="2"/>
      <c r="I91" s="2"/>
    </row>
    <row r="92" spans="5:9" x14ac:dyDescent="0.7">
      <c r="E92" s="2"/>
      <c r="F92" s="2"/>
      <c r="I92" s="2"/>
    </row>
    <row r="93" spans="5:9" x14ac:dyDescent="0.7">
      <c r="E93" s="2"/>
      <c r="F93" s="2"/>
      <c r="I93" s="2"/>
    </row>
    <row r="94" spans="5:9" x14ac:dyDescent="0.7">
      <c r="E94" s="2"/>
      <c r="F94" s="2"/>
      <c r="I94" s="2"/>
    </row>
    <row r="95" spans="5:9" x14ac:dyDescent="0.7">
      <c r="E95" s="2"/>
      <c r="F95" s="2"/>
      <c r="I95" s="2"/>
    </row>
    <row r="96" spans="5:9" x14ac:dyDescent="0.7">
      <c r="E96" s="2"/>
      <c r="F96" s="2"/>
      <c r="I96" s="2"/>
    </row>
    <row r="97" spans="5:9" x14ac:dyDescent="0.7">
      <c r="E97" s="2"/>
      <c r="F97" s="2"/>
      <c r="I97" s="2"/>
    </row>
    <row r="98" spans="5:9" x14ac:dyDescent="0.7">
      <c r="E98" s="2"/>
      <c r="F98" s="2"/>
      <c r="I98" s="2"/>
    </row>
    <row r="99" spans="5:9" x14ac:dyDescent="0.7">
      <c r="E99" s="2"/>
      <c r="F99" s="2"/>
      <c r="I99" s="2"/>
    </row>
    <row r="100" spans="5:9" x14ac:dyDescent="0.7">
      <c r="E100" s="2"/>
      <c r="F100" s="2"/>
      <c r="I100" s="2"/>
    </row>
    <row r="101" spans="5:9" x14ac:dyDescent="0.7">
      <c r="E101" s="2"/>
      <c r="F101" s="2"/>
      <c r="I101" s="2"/>
    </row>
    <row r="102" spans="5:9" x14ac:dyDescent="0.7">
      <c r="E102" s="2"/>
      <c r="F102" s="2"/>
      <c r="I102" s="2"/>
    </row>
    <row r="103" spans="5:9" x14ac:dyDescent="0.7">
      <c r="E103" s="2"/>
      <c r="F103" s="2"/>
      <c r="I103" s="2"/>
    </row>
    <row r="104" spans="5:9" x14ac:dyDescent="0.7">
      <c r="E104" s="2"/>
      <c r="F104" s="2"/>
      <c r="I104" s="2"/>
    </row>
    <row r="105" spans="5:9" x14ac:dyDescent="0.7">
      <c r="E105" s="2"/>
      <c r="F105" s="2"/>
      <c r="I105" s="2"/>
    </row>
    <row r="106" spans="5:9" x14ac:dyDescent="0.7">
      <c r="E106" s="2"/>
      <c r="F106" s="2"/>
      <c r="I106" s="2"/>
    </row>
    <row r="107" spans="5:9" x14ac:dyDescent="0.7">
      <c r="E107" s="2"/>
      <c r="F107" s="2"/>
      <c r="I107" s="2"/>
    </row>
    <row r="108" spans="5:9" x14ac:dyDescent="0.7">
      <c r="E108" s="2"/>
      <c r="F108" s="2"/>
      <c r="I108" s="2"/>
    </row>
    <row r="109" spans="5:9" x14ac:dyDescent="0.7">
      <c r="E109" s="2"/>
      <c r="F109" s="2"/>
      <c r="I109" s="2"/>
    </row>
    <row r="110" spans="5:9" x14ac:dyDescent="0.7">
      <c r="E110" s="2"/>
      <c r="F110" s="2"/>
      <c r="I110" s="2"/>
    </row>
    <row r="111" spans="5:9" x14ac:dyDescent="0.7">
      <c r="E111" s="2"/>
      <c r="F111" s="2"/>
      <c r="I111" s="2"/>
    </row>
    <row r="112" spans="5:9" x14ac:dyDescent="0.7">
      <c r="E112" s="2"/>
      <c r="F112" s="2"/>
      <c r="I112" s="2"/>
    </row>
    <row r="113" spans="5:9" x14ac:dyDescent="0.7">
      <c r="E113" s="2"/>
      <c r="F113" s="2"/>
      <c r="I113" s="2"/>
    </row>
    <row r="114" spans="5:9" x14ac:dyDescent="0.7">
      <c r="E114" s="2"/>
      <c r="F114" s="2"/>
      <c r="I114" s="2"/>
    </row>
    <row r="115" spans="5:9" x14ac:dyDescent="0.7">
      <c r="E115" s="2"/>
      <c r="F115" s="2"/>
      <c r="I115" s="2"/>
    </row>
    <row r="116" spans="5:9" x14ac:dyDescent="0.7">
      <c r="E116" s="2"/>
      <c r="F116" s="2"/>
      <c r="I116" s="2"/>
    </row>
    <row r="117" spans="5:9" x14ac:dyDescent="0.7">
      <c r="E117" s="2"/>
      <c r="F117" s="2"/>
      <c r="I117" s="2"/>
    </row>
    <row r="118" spans="5:9" x14ac:dyDescent="0.7">
      <c r="E118" s="2"/>
      <c r="F118" s="2"/>
      <c r="I118" s="2"/>
    </row>
    <row r="119" spans="5:9" x14ac:dyDescent="0.7">
      <c r="E119" s="2"/>
      <c r="F119" s="2"/>
      <c r="I119" s="2"/>
    </row>
    <row r="120" spans="5:9" x14ac:dyDescent="0.7">
      <c r="E120" s="2"/>
      <c r="F120" s="2"/>
      <c r="I120" s="2"/>
    </row>
    <row r="121" spans="5:9" x14ac:dyDescent="0.7">
      <c r="E121" s="2"/>
      <c r="F121" s="2"/>
      <c r="I121" s="2"/>
    </row>
    <row r="122" spans="5:9" x14ac:dyDescent="0.7">
      <c r="E122" s="2"/>
      <c r="F122" s="2"/>
      <c r="I122" s="2"/>
    </row>
    <row r="123" spans="5:9" x14ac:dyDescent="0.7">
      <c r="E123" s="2"/>
      <c r="F123" s="2"/>
      <c r="I123" s="2"/>
    </row>
    <row r="124" spans="5:9" x14ac:dyDescent="0.7">
      <c r="E124" s="2"/>
      <c r="F124" s="2"/>
      <c r="I124" s="2"/>
    </row>
    <row r="125" spans="5:9" x14ac:dyDescent="0.7">
      <c r="E125" s="2"/>
      <c r="F125" s="2"/>
      <c r="I125" s="2"/>
    </row>
    <row r="126" spans="5:9" x14ac:dyDescent="0.7">
      <c r="E126" s="2"/>
      <c r="F126" s="2"/>
      <c r="I126" s="2"/>
    </row>
    <row r="127" spans="5:9" x14ac:dyDescent="0.7">
      <c r="E127" s="2"/>
      <c r="F127" s="2"/>
      <c r="I127" s="2"/>
    </row>
    <row r="128" spans="5:9" x14ac:dyDescent="0.7">
      <c r="E128" s="2"/>
      <c r="F128" s="2"/>
      <c r="I128" s="2"/>
    </row>
    <row r="129" spans="5:9" x14ac:dyDescent="0.7">
      <c r="E129" s="2"/>
      <c r="F129" s="2"/>
      <c r="I129" s="2"/>
    </row>
    <row r="130" spans="5:9" x14ac:dyDescent="0.7">
      <c r="E130" s="2"/>
      <c r="F130" s="2"/>
      <c r="I130" s="2"/>
    </row>
    <row r="131" spans="5:9" x14ac:dyDescent="0.7">
      <c r="E131" s="2"/>
      <c r="F131" s="2"/>
      <c r="I131" s="2"/>
    </row>
    <row r="132" spans="5:9" x14ac:dyDescent="0.7">
      <c r="E132" s="2"/>
      <c r="F132" s="2"/>
      <c r="I132" s="2"/>
    </row>
    <row r="133" spans="5:9" x14ac:dyDescent="0.7">
      <c r="E133" s="2"/>
      <c r="F133" s="2"/>
      <c r="I133" s="2"/>
    </row>
    <row r="134" spans="5:9" x14ac:dyDescent="0.7">
      <c r="E134" s="2"/>
      <c r="F134" s="2"/>
      <c r="I134" s="2"/>
    </row>
    <row r="135" spans="5:9" x14ac:dyDescent="0.7">
      <c r="E135" s="2"/>
      <c r="F135" s="2"/>
      <c r="I135" s="2"/>
    </row>
    <row r="136" spans="5:9" x14ac:dyDescent="0.7">
      <c r="E136" s="2"/>
      <c r="F136" s="2"/>
      <c r="I136" s="2"/>
    </row>
    <row r="137" spans="5:9" x14ac:dyDescent="0.7">
      <c r="E137" s="2"/>
      <c r="F137" s="2"/>
      <c r="I137" s="2"/>
    </row>
    <row r="138" spans="5:9" x14ac:dyDescent="0.7">
      <c r="E138" s="2"/>
      <c r="F138" s="2"/>
      <c r="I138" s="2"/>
    </row>
    <row r="139" spans="5:9" x14ac:dyDescent="0.7">
      <c r="E139" s="2"/>
      <c r="F139" s="2"/>
      <c r="I139" s="2"/>
    </row>
    <row r="140" spans="5:9" x14ac:dyDescent="0.7">
      <c r="E140" s="2"/>
      <c r="F140" s="2"/>
      <c r="I140" s="2"/>
    </row>
    <row r="141" spans="5:9" x14ac:dyDescent="0.7">
      <c r="E141" s="2"/>
      <c r="F141" s="2"/>
      <c r="I141" s="2"/>
    </row>
    <row r="142" spans="5:9" x14ac:dyDescent="0.7">
      <c r="E142" s="2"/>
      <c r="F142" s="2"/>
      <c r="I142" s="2"/>
    </row>
    <row r="143" spans="5:9" x14ac:dyDescent="0.7">
      <c r="E143" s="2"/>
      <c r="F143" s="2"/>
      <c r="I143" s="2"/>
    </row>
    <row r="144" spans="5:9" x14ac:dyDescent="0.7">
      <c r="E144" s="2"/>
      <c r="F144" s="2"/>
      <c r="I144" s="2"/>
    </row>
    <row r="145" spans="5:9" x14ac:dyDescent="0.7">
      <c r="E145" s="2"/>
      <c r="F145" s="2"/>
      <c r="I145" s="2"/>
    </row>
    <row r="146" spans="5:9" x14ac:dyDescent="0.7">
      <c r="E146" s="2"/>
      <c r="F146" s="2"/>
      <c r="I146" s="2"/>
    </row>
    <row r="147" spans="5:9" x14ac:dyDescent="0.7">
      <c r="E147" s="2"/>
      <c r="F147" s="2"/>
      <c r="I147" s="2"/>
    </row>
    <row r="148" spans="5:9" x14ac:dyDescent="0.7">
      <c r="E148" s="2"/>
      <c r="F148" s="2"/>
      <c r="I148" s="2"/>
    </row>
    <row r="149" spans="5:9" x14ac:dyDescent="0.7">
      <c r="E149" s="2"/>
      <c r="F149" s="2"/>
      <c r="I149" s="2"/>
    </row>
    <row r="150" spans="5:9" x14ac:dyDescent="0.7">
      <c r="E150" s="2"/>
      <c r="F150" s="2"/>
      <c r="I150" s="2"/>
    </row>
    <row r="151" spans="5:9" x14ac:dyDescent="0.7">
      <c r="E151" s="2"/>
      <c r="F151" s="2"/>
      <c r="I151" s="2"/>
    </row>
    <row r="152" spans="5:9" x14ac:dyDescent="0.7">
      <c r="E152" s="2"/>
      <c r="F152" s="2"/>
      <c r="I152" s="2"/>
    </row>
    <row r="153" spans="5:9" x14ac:dyDescent="0.7">
      <c r="E153" s="2"/>
      <c r="F153" s="2"/>
      <c r="I153" s="2"/>
    </row>
    <row r="154" spans="5:9" x14ac:dyDescent="0.7">
      <c r="E154" s="2"/>
      <c r="F154" s="2"/>
      <c r="I154" s="2"/>
    </row>
    <row r="155" spans="5:9" x14ac:dyDescent="0.7">
      <c r="E155" s="2"/>
      <c r="F155" s="2"/>
      <c r="I155" s="2"/>
    </row>
    <row r="156" spans="5:9" x14ac:dyDescent="0.7">
      <c r="E156" s="2"/>
      <c r="F156" s="2"/>
      <c r="I156" s="2"/>
    </row>
    <row r="157" spans="5:9" x14ac:dyDescent="0.7">
      <c r="E157" s="2"/>
      <c r="F157" s="2"/>
      <c r="I157" s="2"/>
    </row>
    <row r="158" spans="5:9" x14ac:dyDescent="0.7">
      <c r="E158" s="2"/>
      <c r="F158" s="2"/>
      <c r="I158" s="2"/>
    </row>
    <row r="159" spans="5:9" x14ac:dyDescent="0.7">
      <c r="E159" s="2"/>
      <c r="F159" s="2"/>
      <c r="I159" s="2"/>
    </row>
    <row r="160" spans="5:9" x14ac:dyDescent="0.7">
      <c r="E160" s="2"/>
      <c r="F160" s="2"/>
      <c r="I160" s="2"/>
    </row>
    <row r="161" spans="1:9" x14ac:dyDescent="0.7">
      <c r="E161" s="2"/>
      <c r="F161" s="2"/>
      <c r="I161" s="2"/>
    </row>
    <row r="162" spans="1:9" x14ac:dyDescent="0.7">
      <c r="E162" s="2"/>
      <c r="F162" s="2"/>
      <c r="I162" s="2"/>
    </row>
    <row r="163" spans="1:9" x14ac:dyDescent="0.7">
      <c r="E163" s="2"/>
      <c r="F163" s="2"/>
      <c r="I163" s="2"/>
    </row>
    <row r="164" spans="1:9" x14ac:dyDescent="0.7">
      <c r="E164" s="2"/>
      <c r="F164" s="2"/>
      <c r="I164" s="2"/>
    </row>
    <row r="165" spans="1:9" x14ac:dyDescent="0.7">
      <c r="E165" s="2"/>
      <c r="F165" s="2"/>
      <c r="I165" s="2"/>
    </row>
    <row r="166" spans="1:9" x14ac:dyDescent="0.7">
      <c r="E166" s="2"/>
      <c r="F166" s="2"/>
      <c r="I166" s="2"/>
    </row>
    <row r="167" spans="1:9" x14ac:dyDescent="0.7">
      <c r="E167" s="2"/>
      <c r="F167" s="2"/>
      <c r="I167" s="2"/>
    </row>
    <row r="168" spans="1:9" x14ac:dyDescent="0.7">
      <c r="E168" s="2"/>
      <c r="F168" s="2"/>
      <c r="I168" s="2"/>
    </row>
    <row r="169" spans="1:9" x14ac:dyDescent="0.7">
      <c r="E169" s="2"/>
      <c r="F169" s="2"/>
      <c r="I169" s="2"/>
    </row>
    <row r="170" spans="1:9" x14ac:dyDescent="0.7">
      <c r="E170" s="2"/>
      <c r="F170" s="2"/>
      <c r="I170" s="2"/>
    </row>
    <row r="171" spans="1:9" x14ac:dyDescent="0.7">
      <c r="E171" s="2"/>
      <c r="F171" s="2"/>
      <c r="I171" s="2"/>
    </row>
    <row r="172" spans="1:9" x14ac:dyDescent="0.7">
      <c r="E172" s="2"/>
      <c r="F172" s="2"/>
      <c r="I172" s="2"/>
    </row>
    <row r="173" spans="1:9" x14ac:dyDescent="0.7">
      <c r="A173" s="1"/>
      <c r="B173" s="1"/>
      <c r="C173" s="1"/>
      <c r="D173" s="1"/>
      <c r="E173" s="3"/>
      <c r="F173" s="3"/>
      <c r="G173" s="1"/>
      <c r="H173" s="1"/>
      <c r="I173" s="3"/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B3491-825C-422B-B8FA-F6580E2B7358}">
  <dimension ref="A1:O173"/>
  <sheetViews>
    <sheetView workbookViewId="0">
      <selection activeCell="L4" sqref="L4"/>
    </sheetView>
  </sheetViews>
  <sheetFormatPr defaultRowHeight="17.649999999999999" x14ac:dyDescent="0.7"/>
  <cols>
    <col min="1" max="1" width="13.5" customWidth="1"/>
    <col min="2" max="2" width="13.6875" customWidth="1"/>
    <col min="3" max="3" width="12.625" customWidth="1"/>
    <col min="4" max="4" width="8.3125" customWidth="1"/>
    <col min="5" max="5" width="11.6875" customWidth="1"/>
    <col min="6" max="6" width="11.1875" customWidth="1"/>
    <col min="8" max="8" width="12.5" customWidth="1"/>
    <col min="9" max="9" width="14.6875" customWidth="1"/>
    <col min="11" max="11" width="20" customWidth="1"/>
    <col min="12" max="15" width="9" customWidth="1"/>
  </cols>
  <sheetData>
    <row r="1" spans="1:15" x14ac:dyDescent="0.7">
      <c r="A1" s="6" t="s">
        <v>98</v>
      </c>
      <c r="B1" s="11"/>
    </row>
    <row r="3" spans="1:15" x14ac:dyDescent="0.7">
      <c r="A3" s="10" t="s">
        <v>0</v>
      </c>
      <c r="B3" s="10" t="s">
        <v>1</v>
      </c>
      <c r="C3" s="10" t="s">
        <v>2</v>
      </c>
      <c r="D3" s="10" t="s">
        <v>3</v>
      </c>
      <c r="E3" s="10" t="s">
        <v>97</v>
      </c>
      <c r="F3" s="10" t="s">
        <v>4</v>
      </c>
      <c r="G3" s="10" t="s">
        <v>5</v>
      </c>
      <c r="H3" s="10" t="s">
        <v>6</v>
      </c>
      <c r="I3" s="10" t="s">
        <v>7</v>
      </c>
      <c r="K3" s="15"/>
      <c r="L3" s="7" t="s">
        <v>100</v>
      </c>
      <c r="M3" s="7" t="s">
        <v>101</v>
      </c>
      <c r="N3" s="7" t="s">
        <v>99</v>
      </c>
      <c r="O3" s="7" t="s">
        <v>102</v>
      </c>
    </row>
    <row r="4" spans="1:15" x14ac:dyDescent="0.7">
      <c r="A4" t="s">
        <v>8</v>
      </c>
      <c r="B4" t="s">
        <v>9</v>
      </c>
      <c r="C4" t="s">
        <v>10</v>
      </c>
      <c r="D4">
        <v>2016</v>
      </c>
      <c r="E4" s="2">
        <v>55000</v>
      </c>
      <c r="F4" s="2">
        <v>2500</v>
      </c>
      <c r="G4" t="s">
        <v>11</v>
      </c>
      <c r="H4" t="s">
        <v>12</v>
      </c>
      <c r="I4" s="2">
        <v>160</v>
      </c>
      <c r="K4" s="14" t="s">
        <v>103</v>
      </c>
      <c r="L4" s="5" cm="1">
        <f t="array" ref="L4:O8">LINEST(I4:I53,D4:F53,TRUE,TRUE)</f>
        <v>6.4423289504450337E-2</v>
      </c>
      <c r="M4" s="5">
        <v>-1.9785046351958289E-3</v>
      </c>
      <c r="N4" s="5">
        <v>-7.0003127510288365</v>
      </c>
      <c r="O4" s="18">
        <v>14252.303709666407</v>
      </c>
    </row>
    <row r="5" spans="1:15" x14ac:dyDescent="0.7">
      <c r="A5" t="s">
        <v>13</v>
      </c>
      <c r="B5" t="s">
        <v>14</v>
      </c>
      <c r="C5" t="s">
        <v>15</v>
      </c>
      <c r="D5">
        <v>2018</v>
      </c>
      <c r="E5" s="2">
        <v>40000</v>
      </c>
      <c r="F5" s="2">
        <v>2000</v>
      </c>
      <c r="G5" t="s">
        <v>16</v>
      </c>
      <c r="H5" t="s">
        <v>17</v>
      </c>
      <c r="I5" s="2">
        <v>170</v>
      </c>
      <c r="K5" s="14" t="s">
        <v>104</v>
      </c>
      <c r="L5" s="5">
        <v>1.3096781062780973E-2</v>
      </c>
      <c r="M5" s="5">
        <v>3.4299363632906592E-4</v>
      </c>
      <c r="N5" s="5">
        <v>1.228963968490018</v>
      </c>
      <c r="O5" s="18">
        <v>2485.477289576012</v>
      </c>
    </row>
    <row r="6" spans="1:15" ht="19.149999999999999" x14ac:dyDescent="0.7">
      <c r="A6" t="s">
        <v>18</v>
      </c>
      <c r="B6" t="s">
        <v>19</v>
      </c>
      <c r="C6" t="s">
        <v>20</v>
      </c>
      <c r="D6">
        <v>2019</v>
      </c>
      <c r="E6" s="2">
        <v>20000</v>
      </c>
      <c r="F6" s="2">
        <v>660</v>
      </c>
      <c r="G6" t="s">
        <v>11</v>
      </c>
      <c r="H6" t="s">
        <v>17</v>
      </c>
      <c r="I6" s="2">
        <v>80</v>
      </c>
      <c r="K6" s="14" t="s">
        <v>106</v>
      </c>
      <c r="L6" s="5">
        <v>0.62903094877592736</v>
      </c>
      <c r="M6" s="5">
        <v>72.482121222845095</v>
      </c>
      <c r="N6" t="e">
        <v>#N/A</v>
      </c>
      <c r="O6" t="e">
        <v>#N/A</v>
      </c>
    </row>
    <row r="7" spans="1:15" x14ac:dyDescent="0.7">
      <c r="A7" t="s">
        <v>21</v>
      </c>
      <c r="B7" t="s">
        <v>22</v>
      </c>
      <c r="C7" t="s">
        <v>10</v>
      </c>
      <c r="D7">
        <v>2016</v>
      </c>
      <c r="E7" s="2">
        <v>55000</v>
      </c>
      <c r="F7" s="2">
        <v>2500</v>
      </c>
      <c r="G7" t="s">
        <v>11</v>
      </c>
      <c r="H7" t="s">
        <v>23</v>
      </c>
      <c r="I7" s="2">
        <v>160</v>
      </c>
      <c r="K7" s="14" t="s">
        <v>107</v>
      </c>
      <c r="L7" s="5">
        <v>25.999854119200805</v>
      </c>
      <c r="M7">
        <v>46</v>
      </c>
      <c r="N7" t="e">
        <v>#N/A</v>
      </c>
      <c r="O7" t="e">
        <v>#N/A</v>
      </c>
    </row>
    <row r="8" spans="1:15" x14ac:dyDescent="0.7">
      <c r="A8" t="s">
        <v>13</v>
      </c>
      <c r="B8" t="s">
        <v>24</v>
      </c>
      <c r="C8" t="s">
        <v>15</v>
      </c>
      <c r="D8">
        <v>2017</v>
      </c>
      <c r="E8" s="2">
        <v>35000</v>
      </c>
      <c r="F8" s="2">
        <v>2500</v>
      </c>
      <c r="G8" t="s">
        <v>16</v>
      </c>
      <c r="H8" t="s">
        <v>25</v>
      </c>
      <c r="I8" s="2">
        <v>200</v>
      </c>
      <c r="K8" s="16" t="s">
        <v>108</v>
      </c>
      <c r="L8" s="17">
        <v>409783.01673969231</v>
      </c>
      <c r="M8" s="17">
        <v>241668.26326030769</v>
      </c>
      <c r="N8" s="1" t="e">
        <v>#N/A</v>
      </c>
      <c r="O8" s="1" t="e">
        <v>#N/A</v>
      </c>
    </row>
    <row r="9" spans="1:15" x14ac:dyDescent="0.7">
      <c r="A9" t="s">
        <v>26</v>
      </c>
      <c r="B9" t="s">
        <v>27</v>
      </c>
      <c r="C9" t="s">
        <v>28</v>
      </c>
      <c r="D9">
        <v>2019</v>
      </c>
      <c r="E9" s="2">
        <v>40000</v>
      </c>
      <c r="F9" s="2">
        <v>2500</v>
      </c>
      <c r="G9" t="s">
        <v>16</v>
      </c>
      <c r="H9" t="s">
        <v>29</v>
      </c>
      <c r="I9" s="2">
        <v>80</v>
      </c>
      <c r="K9" s="9"/>
      <c r="L9" s="8"/>
    </row>
    <row r="10" spans="1:15" x14ac:dyDescent="0.7">
      <c r="A10" t="s">
        <v>30</v>
      </c>
      <c r="B10" t="s">
        <v>31</v>
      </c>
      <c r="C10" t="s">
        <v>32</v>
      </c>
      <c r="D10">
        <v>1962</v>
      </c>
      <c r="E10" s="2">
        <v>70000</v>
      </c>
      <c r="F10" s="2">
        <v>1600</v>
      </c>
      <c r="G10" t="s">
        <v>33</v>
      </c>
      <c r="H10" t="s">
        <v>34</v>
      </c>
      <c r="I10" s="2">
        <v>550</v>
      </c>
      <c r="K10" s="13" t="s">
        <v>105</v>
      </c>
      <c r="L10" s="4">
        <f>_xlfn.F.DIST.RT(L7,3,M7)</f>
        <v>5.4909154229465563E-10</v>
      </c>
    </row>
    <row r="11" spans="1:15" x14ac:dyDescent="0.7">
      <c r="A11" t="s">
        <v>35</v>
      </c>
      <c r="B11">
        <v>911</v>
      </c>
      <c r="C11" t="s">
        <v>36</v>
      </c>
      <c r="D11">
        <v>2020</v>
      </c>
      <c r="E11" s="2">
        <v>15000</v>
      </c>
      <c r="F11" s="2">
        <v>3000</v>
      </c>
      <c r="G11" t="s">
        <v>16</v>
      </c>
      <c r="H11" t="s">
        <v>37</v>
      </c>
      <c r="I11" s="2">
        <v>450</v>
      </c>
    </row>
    <row r="12" spans="1:15" x14ac:dyDescent="0.7">
      <c r="A12" t="s">
        <v>26</v>
      </c>
      <c r="B12" t="s">
        <v>38</v>
      </c>
      <c r="C12" t="s">
        <v>20</v>
      </c>
      <c r="D12">
        <v>2017</v>
      </c>
      <c r="E12" s="2">
        <v>30000</v>
      </c>
      <c r="F12" s="2">
        <v>1000</v>
      </c>
      <c r="G12" t="s">
        <v>11</v>
      </c>
      <c r="H12" t="s">
        <v>25</v>
      </c>
      <c r="I12" s="2">
        <v>85</v>
      </c>
      <c r="K12" s="12"/>
    </row>
    <row r="13" spans="1:15" x14ac:dyDescent="0.7">
      <c r="A13" t="s">
        <v>13</v>
      </c>
      <c r="B13" t="s">
        <v>39</v>
      </c>
      <c r="C13" t="s">
        <v>36</v>
      </c>
      <c r="D13">
        <v>2017</v>
      </c>
      <c r="E13" s="2">
        <v>40000</v>
      </c>
      <c r="F13" s="2">
        <v>2000</v>
      </c>
      <c r="G13" t="s">
        <v>33</v>
      </c>
      <c r="H13" t="s">
        <v>40</v>
      </c>
      <c r="I13" s="2">
        <v>120</v>
      </c>
      <c r="K13" s="12"/>
    </row>
    <row r="14" spans="1:15" x14ac:dyDescent="0.7">
      <c r="A14" t="s">
        <v>18</v>
      </c>
      <c r="B14" t="s">
        <v>41</v>
      </c>
      <c r="C14" t="s">
        <v>20</v>
      </c>
      <c r="D14">
        <v>2016</v>
      </c>
      <c r="E14" s="2">
        <v>65000</v>
      </c>
      <c r="F14" s="2">
        <v>1400</v>
      </c>
      <c r="G14" t="s">
        <v>33</v>
      </c>
      <c r="H14" t="s">
        <v>42</v>
      </c>
      <c r="I14" s="2">
        <v>100</v>
      </c>
      <c r="K14" s="12"/>
    </row>
    <row r="15" spans="1:15" x14ac:dyDescent="0.7">
      <c r="A15" t="s">
        <v>43</v>
      </c>
      <c r="B15" t="s">
        <v>44</v>
      </c>
      <c r="C15" t="s">
        <v>10</v>
      </c>
      <c r="D15">
        <v>2019</v>
      </c>
      <c r="E15" s="2">
        <v>25000</v>
      </c>
      <c r="F15" s="2">
        <v>0</v>
      </c>
      <c r="H15" t="s">
        <v>17</v>
      </c>
      <c r="I15" s="2">
        <v>300</v>
      </c>
    </row>
    <row r="16" spans="1:15" x14ac:dyDescent="0.7">
      <c r="A16" t="s">
        <v>45</v>
      </c>
      <c r="B16" t="s">
        <v>46</v>
      </c>
      <c r="C16" t="s">
        <v>15</v>
      </c>
      <c r="D16">
        <v>2017</v>
      </c>
      <c r="E16" s="2">
        <v>50000</v>
      </c>
      <c r="F16" s="2">
        <v>2000</v>
      </c>
      <c r="G16" t="s">
        <v>16</v>
      </c>
      <c r="H16" t="s">
        <v>23</v>
      </c>
      <c r="I16" s="2">
        <v>240</v>
      </c>
      <c r="K16" s="12"/>
    </row>
    <row r="17" spans="1:11" x14ac:dyDescent="0.7">
      <c r="A17" t="s">
        <v>13</v>
      </c>
      <c r="B17" t="s">
        <v>47</v>
      </c>
      <c r="C17" t="s">
        <v>20</v>
      </c>
      <c r="D17">
        <v>2015</v>
      </c>
      <c r="E17" s="2">
        <v>65000</v>
      </c>
      <c r="F17" s="2">
        <v>1300</v>
      </c>
      <c r="G17" t="s">
        <v>33</v>
      </c>
      <c r="H17" t="s">
        <v>40</v>
      </c>
      <c r="I17" s="2">
        <v>80</v>
      </c>
      <c r="K17" s="12"/>
    </row>
    <row r="18" spans="1:11" x14ac:dyDescent="0.7">
      <c r="A18" t="s">
        <v>26</v>
      </c>
      <c r="B18" t="s">
        <v>48</v>
      </c>
      <c r="C18" t="s">
        <v>49</v>
      </c>
      <c r="D18">
        <v>2014</v>
      </c>
      <c r="E18" s="2">
        <v>80000</v>
      </c>
      <c r="F18" s="2">
        <v>1000</v>
      </c>
      <c r="G18" t="s">
        <v>11</v>
      </c>
      <c r="H18" t="s">
        <v>29</v>
      </c>
      <c r="I18" s="2">
        <v>28</v>
      </c>
      <c r="K18" s="12"/>
    </row>
    <row r="19" spans="1:11" x14ac:dyDescent="0.7">
      <c r="A19" t="s">
        <v>50</v>
      </c>
      <c r="B19" t="s">
        <v>51</v>
      </c>
      <c r="C19" t="s">
        <v>49</v>
      </c>
      <c r="D19">
        <v>2017</v>
      </c>
      <c r="E19" s="2">
        <v>55000</v>
      </c>
      <c r="F19" s="2">
        <v>1300</v>
      </c>
      <c r="G19" t="s">
        <v>33</v>
      </c>
      <c r="H19" t="s">
        <v>23</v>
      </c>
      <c r="I19" s="2">
        <v>120</v>
      </c>
      <c r="K19" s="12"/>
    </row>
    <row r="20" spans="1:11" x14ac:dyDescent="0.7">
      <c r="A20" t="s">
        <v>21</v>
      </c>
      <c r="B20" t="s">
        <v>52</v>
      </c>
      <c r="C20" t="s">
        <v>10</v>
      </c>
      <c r="D20">
        <v>2017</v>
      </c>
      <c r="E20" s="2">
        <v>40000</v>
      </c>
      <c r="F20" s="2">
        <v>1600</v>
      </c>
      <c r="G20" t="s">
        <v>11</v>
      </c>
      <c r="H20" t="s">
        <v>25</v>
      </c>
      <c r="I20" s="2">
        <v>120</v>
      </c>
    </row>
    <row r="21" spans="1:11" x14ac:dyDescent="0.7">
      <c r="A21" t="s">
        <v>18</v>
      </c>
      <c r="B21" t="s">
        <v>53</v>
      </c>
      <c r="C21" t="s">
        <v>54</v>
      </c>
      <c r="D21">
        <v>2015</v>
      </c>
      <c r="E21" s="2">
        <v>70000</v>
      </c>
      <c r="F21" s="2">
        <v>1200</v>
      </c>
      <c r="G21" t="s">
        <v>11</v>
      </c>
      <c r="H21" t="s">
        <v>29</v>
      </c>
      <c r="I21" s="2">
        <v>28</v>
      </c>
    </row>
    <row r="22" spans="1:11" x14ac:dyDescent="0.7">
      <c r="A22" t="s">
        <v>8</v>
      </c>
      <c r="B22" t="s">
        <v>55</v>
      </c>
      <c r="C22" t="s">
        <v>54</v>
      </c>
      <c r="D22">
        <v>2016</v>
      </c>
      <c r="E22" s="2">
        <v>50000</v>
      </c>
      <c r="F22" s="2">
        <v>1600</v>
      </c>
      <c r="G22" t="s">
        <v>11</v>
      </c>
      <c r="H22" t="s">
        <v>56</v>
      </c>
      <c r="I22" s="2">
        <v>150</v>
      </c>
    </row>
    <row r="23" spans="1:11" x14ac:dyDescent="0.7">
      <c r="A23" t="s">
        <v>50</v>
      </c>
      <c r="B23" t="s">
        <v>57</v>
      </c>
      <c r="C23" t="s">
        <v>54</v>
      </c>
      <c r="D23">
        <v>2018</v>
      </c>
      <c r="E23" s="2">
        <v>24000</v>
      </c>
      <c r="F23" s="2">
        <v>660</v>
      </c>
      <c r="G23" t="s">
        <v>11</v>
      </c>
      <c r="H23" t="s">
        <v>17</v>
      </c>
      <c r="I23" s="2">
        <v>76</v>
      </c>
    </row>
    <row r="24" spans="1:11" x14ac:dyDescent="0.7">
      <c r="A24" t="s">
        <v>26</v>
      </c>
      <c r="B24" t="s">
        <v>58</v>
      </c>
      <c r="C24" t="s">
        <v>59</v>
      </c>
      <c r="D24">
        <v>2017</v>
      </c>
      <c r="E24" s="2">
        <v>60000</v>
      </c>
      <c r="F24" s="2">
        <v>2000</v>
      </c>
      <c r="G24" t="s">
        <v>11</v>
      </c>
      <c r="H24" t="s">
        <v>34</v>
      </c>
      <c r="I24" s="2">
        <v>170</v>
      </c>
    </row>
    <row r="25" spans="1:11" x14ac:dyDescent="0.7">
      <c r="A25" t="s">
        <v>35</v>
      </c>
      <c r="B25">
        <v>911</v>
      </c>
      <c r="C25" t="s">
        <v>36</v>
      </c>
      <c r="D25">
        <v>1985</v>
      </c>
      <c r="E25" s="2">
        <v>80000</v>
      </c>
      <c r="F25" s="2">
        <v>3200</v>
      </c>
      <c r="G25" t="s">
        <v>33</v>
      </c>
      <c r="H25" t="s">
        <v>23</v>
      </c>
      <c r="I25" s="2">
        <v>300</v>
      </c>
    </row>
    <row r="26" spans="1:11" x14ac:dyDescent="0.7">
      <c r="A26" t="s">
        <v>50</v>
      </c>
      <c r="B26" t="s">
        <v>60</v>
      </c>
      <c r="C26" t="s">
        <v>61</v>
      </c>
      <c r="D26">
        <v>2010</v>
      </c>
      <c r="E26" s="2">
        <v>120000</v>
      </c>
      <c r="F26" s="2">
        <v>1300</v>
      </c>
      <c r="G26" t="s">
        <v>11</v>
      </c>
      <c r="H26" t="s">
        <v>29</v>
      </c>
      <c r="I26" s="2">
        <v>25</v>
      </c>
    </row>
    <row r="27" spans="1:11" x14ac:dyDescent="0.7">
      <c r="A27" t="s">
        <v>21</v>
      </c>
      <c r="B27" t="s">
        <v>62</v>
      </c>
      <c r="C27" t="s">
        <v>10</v>
      </c>
      <c r="D27">
        <v>2016</v>
      </c>
      <c r="E27" s="2">
        <v>70000</v>
      </c>
      <c r="F27" s="2">
        <v>1600</v>
      </c>
      <c r="G27" t="s">
        <v>11</v>
      </c>
      <c r="H27" t="s">
        <v>42</v>
      </c>
      <c r="I27" s="2">
        <v>100</v>
      </c>
    </row>
    <row r="28" spans="1:11" x14ac:dyDescent="0.7">
      <c r="A28" t="s">
        <v>26</v>
      </c>
      <c r="B28" t="s">
        <v>63</v>
      </c>
      <c r="C28" t="s">
        <v>20</v>
      </c>
      <c r="D28">
        <v>2018</v>
      </c>
      <c r="E28" s="2">
        <v>24000</v>
      </c>
      <c r="F28" s="2">
        <v>660</v>
      </c>
      <c r="G28" t="s">
        <v>11</v>
      </c>
      <c r="H28" t="s">
        <v>34</v>
      </c>
      <c r="I28" s="2">
        <v>75</v>
      </c>
    </row>
    <row r="29" spans="1:11" x14ac:dyDescent="0.7">
      <c r="A29" t="s">
        <v>64</v>
      </c>
      <c r="B29" t="s">
        <v>65</v>
      </c>
      <c r="C29" t="s">
        <v>10</v>
      </c>
      <c r="D29">
        <v>2019</v>
      </c>
      <c r="E29" s="2">
        <v>28000</v>
      </c>
      <c r="F29" s="2">
        <v>2000</v>
      </c>
      <c r="G29" t="s">
        <v>16</v>
      </c>
      <c r="H29" t="s">
        <v>17</v>
      </c>
      <c r="I29" s="2">
        <v>270</v>
      </c>
    </row>
    <row r="30" spans="1:11" x14ac:dyDescent="0.7">
      <c r="A30" t="s">
        <v>26</v>
      </c>
      <c r="B30" t="s">
        <v>66</v>
      </c>
      <c r="C30" t="s">
        <v>61</v>
      </c>
      <c r="D30">
        <v>2013</v>
      </c>
      <c r="E30" s="2">
        <v>90000</v>
      </c>
      <c r="F30" s="2">
        <v>1800</v>
      </c>
      <c r="G30" t="s">
        <v>11</v>
      </c>
      <c r="H30" t="s">
        <v>29</v>
      </c>
      <c r="I30" s="2">
        <v>35</v>
      </c>
    </row>
    <row r="31" spans="1:11" x14ac:dyDescent="0.7">
      <c r="A31" t="s">
        <v>50</v>
      </c>
      <c r="B31" t="s">
        <v>67</v>
      </c>
      <c r="C31" t="s">
        <v>49</v>
      </c>
      <c r="D31">
        <v>2018</v>
      </c>
      <c r="E31" s="2">
        <v>40000</v>
      </c>
      <c r="F31" s="2">
        <v>1500</v>
      </c>
      <c r="G31" t="s">
        <v>11</v>
      </c>
      <c r="H31" t="s">
        <v>17</v>
      </c>
      <c r="I31" s="2">
        <v>160</v>
      </c>
    </row>
    <row r="32" spans="1:11" x14ac:dyDescent="0.7">
      <c r="A32" t="s">
        <v>21</v>
      </c>
      <c r="B32" t="s">
        <v>68</v>
      </c>
      <c r="C32" t="s">
        <v>36</v>
      </c>
      <c r="D32">
        <v>2016</v>
      </c>
      <c r="E32" s="2">
        <v>60000</v>
      </c>
      <c r="F32" s="2">
        <v>3700</v>
      </c>
      <c r="G32" t="s">
        <v>33</v>
      </c>
      <c r="H32" t="s">
        <v>34</v>
      </c>
      <c r="I32" s="2">
        <v>250</v>
      </c>
    </row>
    <row r="33" spans="1:9" x14ac:dyDescent="0.7">
      <c r="A33" t="s">
        <v>50</v>
      </c>
      <c r="B33" t="s">
        <v>69</v>
      </c>
      <c r="C33" t="s">
        <v>54</v>
      </c>
      <c r="D33">
        <v>2018</v>
      </c>
      <c r="E33" s="2">
        <v>22000</v>
      </c>
      <c r="F33" s="2">
        <v>660</v>
      </c>
      <c r="G33" t="s">
        <v>11</v>
      </c>
      <c r="H33" t="s">
        <v>70</v>
      </c>
      <c r="I33" s="2">
        <v>90</v>
      </c>
    </row>
    <row r="34" spans="1:9" x14ac:dyDescent="0.7">
      <c r="A34" t="s">
        <v>71</v>
      </c>
      <c r="B34" t="s">
        <v>72</v>
      </c>
      <c r="C34" t="s">
        <v>10</v>
      </c>
      <c r="D34">
        <v>2018</v>
      </c>
      <c r="E34" s="2">
        <v>36000</v>
      </c>
      <c r="F34" s="2">
        <v>2500</v>
      </c>
      <c r="G34" t="s">
        <v>16</v>
      </c>
      <c r="H34" t="s">
        <v>73</v>
      </c>
      <c r="I34" s="2">
        <v>290</v>
      </c>
    </row>
    <row r="35" spans="1:9" x14ac:dyDescent="0.7">
      <c r="A35" t="s">
        <v>50</v>
      </c>
      <c r="B35" t="s">
        <v>74</v>
      </c>
      <c r="C35" t="s">
        <v>49</v>
      </c>
      <c r="D35">
        <v>2017</v>
      </c>
      <c r="E35" s="2">
        <v>48000</v>
      </c>
      <c r="F35" s="2">
        <v>1300</v>
      </c>
      <c r="G35" t="s">
        <v>11</v>
      </c>
      <c r="H35" t="s">
        <v>75</v>
      </c>
      <c r="I35" s="2">
        <v>150</v>
      </c>
    </row>
    <row r="36" spans="1:9" x14ac:dyDescent="0.7">
      <c r="A36" t="s">
        <v>50</v>
      </c>
      <c r="B36" t="s">
        <v>51</v>
      </c>
      <c r="C36" t="s">
        <v>49</v>
      </c>
      <c r="D36">
        <v>2008</v>
      </c>
      <c r="E36" s="2">
        <v>150000</v>
      </c>
      <c r="F36" s="2">
        <v>1300</v>
      </c>
      <c r="G36" t="s">
        <v>11</v>
      </c>
      <c r="H36" t="s">
        <v>29</v>
      </c>
      <c r="I36" s="2">
        <v>30</v>
      </c>
    </row>
    <row r="37" spans="1:9" x14ac:dyDescent="0.7">
      <c r="A37" t="s">
        <v>21</v>
      </c>
      <c r="B37" t="s">
        <v>76</v>
      </c>
      <c r="C37" t="s">
        <v>15</v>
      </c>
      <c r="D37">
        <v>2019</v>
      </c>
      <c r="E37" s="2">
        <v>30000</v>
      </c>
      <c r="F37" s="2">
        <v>3500</v>
      </c>
      <c r="G37" t="s">
        <v>11</v>
      </c>
      <c r="H37" t="s">
        <v>77</v>
      </c>
      <c r="I37" s="2">
        <v>220</v>
      </c>
    </row>
    <row r="38" spans="1:9" x14ac:dyDescent="0.7">
      <c r="A38" t="s">
        <v>13</v>
      </c>
      <c r="B38" t="s">
        <v>78</v>
      </c>
      <c r="C38" t="s">
        <v>36</v>
      </c>
      <c r="D38">
        <v>2017</v>
      </c>
      <c r="E38" s="2">
        <v>40000</v>
      </c>
      <c r="F38" s="2">
        <v>2000</v>
      </c>
      <c r="G38" t="s">
        <v>33</v>
      </c>
      <c r="H38" t="s">
        <v>40</v>
      </c>
      <c r="I38" s="2">
        <v>120</v>
      </c>
    </row>
    <row r="39" spans="1:9" x14ac:dyDescent="0.7">
      <c r="A39" t="s">
        <v>21</v>
      </c>
      <c r="B39" t="s">
        <v>79</v>
      </c>
      <c r="C39" t="s">
        <v>59</v>
      </c>
      <c r="D39">
        <v>2016</v>
      </c>
      <c r="E39" s="2">
        <v>60000</v>
      </c>
      <c r="F39" s="2">
        <v>2500</v>
      </c>
      <c r="G39" t="s">
        <v>11</v>
      </c>
      <c r="H39" t="s">
        <v>80</v>
      </c>
      <c r="I39" s="2">
        <v>150</v>
      </c>
    </row>
    <row r="40" spans="1:9" x14ac:dyDescent="0.7">
      <c r="A40" t="s">
        <v>81</v>
      </c>
      <c r="B40" t="s">
        <v>82</v>
      </c>
      <c r="C40" t="s">
        <v>54</v>
      </c>
      <c r="D40">
        <v>2019</v>
      </c>
      <c r="E40" s="2">
        <v>18000</v>
      </c>
      <c r="F40" s="2">
        <v>660</v>
      </c>
      <c r="G40" t="s">
        <v>11</v>
      </c>
      <c r="H40" t="s">
        <v>73</v>
      </c>
      <c r="I40" s="2">
        <v>80</v>
      </c>
    </row>
    <row r="41" spans="1:9" x14ac:dyDescent="0.7">
      <c r="A41" t="s">
        <v>21</v>
      </c>
      <c r="B41" t="s">
        <v>62</v>
      </c>
      <c r="C41" t="s">
        <v>10</v>
      </c>
      <c r="D41">
        <v>2016</v>
      </c>
      <c r="E41" s="2">
        <v>70000</v>
      </c>
      <c r="F41" s="2">
        <v>1600</v>
      </c>
      <c r="G41" t="s">
        <v>11</v>
      </c>
      <c r="H41" t="s">
        <v>42</v>
      </c>
      <c r="I41" s="2">
        <v>100</v>
      </c>
    </row>
    <row r="42" spans="1:9" x14ac:dyDescent="0.7">
      <c r="A42" t="s">
        <v>26</v>
      </c>
      <c r="B42" t="s">
        <v>83</v>
      </c>
      <c r="C42" t="s">
        <v>59</v>
      </c>
      <c r="D42">
        <v>2012</v>
      </c>
      <c r="E42" s="2">
        <v>100000</v>
      </c>
      <c r="F42" s="2">
        <v>2000</v>
      </c>
      <c r="G42" t="s">
        <v>11</v>
      </c>
      <c r="H42" t="s">
        <v>29</v>
      </c>
      <c r="I42" s="2">
        <v>32</v>
      </c>
    </row>
    <row r="43" spans="1:9" x14ac:dyDescent="0.7">
      <c r="A43" t="s">
        <v>50</v>
      </c>
      <c r="B43" t="s">
        <v>84</v>
      </c>
      <c r="C43" t="s">
        <v>10</v>
      </c>
      <c r="D43">
        <v>2020</v>
      </c>
      <c r="E43" s="2">
        <v>20000</v>
      </c>
      <c r="F43" s="2">
        <v>1800</v>
      </c>
      <c r="G43" t="s">
        <v>11</v>
      </c>
      <c r="H43" t="s">
        <v>29</v>
      </c>
      <c r="I43" s="2">
        <v>70</v>
      </c>
    </row>
    <row r="44" spans="1:9" x14ac:dyDescent="0.7">
      <c r="A44" t="s">
        <v>64</v>
      </c>
      <c r="B44" t="s">
        <v>85</v>
      </c>
      <c r="C44" t="s">
        <v>10</v>
      </c>
      <c r="D44">
        <v>2016</v>
      </c>
      <c r="E44" s="2">
        <v>58000</v>
      </c>
      <c r="F44" s="2">
        <v>2000</v>
      </c>
      <c r="G44" t="s">
        <v>16</v>
      </c>
      <c r="H44" t="s">
        <v>40</v>
      </c>
      <c r="I44" s="2">
        <v>240</v>
      </c>
    </row>
    <row r="45" spans="1:9" x14ac:dyDescent="0.7">
      <c r="A45" t="s">
        <v>86</v>
      </c>
      <c r="B45" t="s">
        <v>87</v>
      </c>
      <c r="C45" t="s">
        <v>10</v>
      </c>
      <c r="D45">
        <v>2019</v>
      </c>
      <c r="E45" s="2">
        <v>30000</v>
      </c>
      <c r="F45" s="2">
        <v>2000</v>
      </c>
      <c r="G45" t="s">
        <v>16</v>
      </c>
      <c r="H45" t="s">
        <v>70</v>
      </c>
      <c r="I45" s="2">
        <v>260</v>
      </c>
    </row>
    <row r="46" spans="1:9" x14ac:dyDescent="0.7">
      <c r="A46" t="s">
        <v>8</v>
      </c>
      <c r="B46" t="s">
        <v>88</v>
      </c>
      <c r="C46" t="s">
        <v>15</v>
      </c>
      <c r="D46">
        <v>2017</v>
      </c>
      <c r="E46" s="2">
        <v>40000</v>
      </c>
      <c r="F46" s="2">
        <v>1600</v>
      </c>
      <c r="G46" t="s">
        <v>11</v>
      </c>
      <c r="H46" t="s">
        <v>12</v>
      </c>
      <c r="I46" s="2">
        <v>130</v>
      </c>
    </row>
    <row r="47" spans="1:9" x14ac:dyDescent="0.7">
      <c r="A47" t="s">
        <v>50</v>
      </c>
      <c r="B47" t="s">
        <v>89</v>
      </c>
      <c r="C47" t="s">
        <v>54</v>
      </c>
      <c r="D47">
        <v>2017</v>
      </c>
      <c r="E47" s="2">
        <v>25000</v>
      </c>
      <c r="F47" s="2">
        <v>660</v>
      </c>
      <c r="G47" t="s">
        <v>11</v>
      </c>
      <c r="H47" t="s">
        <v>40</v>
      </c>
      <c r="I47" s="2">
        <v>85</v>
      </c>
    </row>
    <row r="48" spans="1:9" x14ac:dyDescent="0.7">
      <c r="A48" t="s">
        <v>50</v>
      </c>
      <c r="B48" t="s">
        <v>90</v>
      </c>
      <c r="C48" t="s">
        <v>15</v>
      </c>
      <c r="D48">
        <v>2017</v>
      </c>
      <c r="E48" s="2">
        <v>50000</v>
      </c>
      <c r="F48" s="2">
        <v>1800</v>
      </c>
      <c r="G48" t="s">
        <v>11</v>
      </c>
      <c r="H48" t="s">
        <v>75</v>
      </c>
      <c r="I48" s="2">
        <v>150</v>
      </c>
    </row>
    <row r="49" spans="1:9" x14ac:dyDescent="0.7">
      <c r="A49" t="s">
        <v>18</v>
      </c>
      <c r="B49" t="s">
        <v>91</v>
      </c>
      <c r="C49" t="s">
        <v>49</v>
      </c>
      <c r="D49">
        <v>2007</v>
      </c>
      <c r="E49" s="2">
        <v>180000</v>
      </c>
      <c r="F49" s="2">
        <v>1200</v>
      </c>
      <c r="G49" t="s">
        <v>33</v>
      </c>
      <c r="H49" t="s">
        <v>29</v>
      </c>
      <c r="I49" s="2">
        <v>20</v>
      </c>
    </row>
    <row r="50" spans="1:9" x14ac:dyDescent="0.7">
      <c r="A50" t="s">
        <v>26</v>
      </c>
      <c r="B50" t="s">
        <v>66</v>
      </c>
      <c r="C50" t="s">
        <v>61</v>
      </c>
      <c r="D50">
        <v>2017</v>
      </c>
      <c r="E50" s="2">
        <v>45000</v>
      </c>
      <c r="F50" s="2">
        <v>1800</v>
      </c>
      <c r="G50" t="s">
        <v>11</v>
      </c>
      <c r="H50" t="s">
        <v>92</v>
      </c>
      <c r="I50" s="2">
        <v>180</v>
      </c>
    </row>
    <row r="51" spans="1:9" x14ac:dyDescent="0.7">
      <c r="A51" t="s">
        <v>21</v>
      </c>
      <c r="B51" t="s">
        <v>62</v>
      </c>
      <c r="C51" t="s">
        <v>49</v>
      </c>
      <c r="D51">
        <v>2012</v>
      </c>
      <c r="E51" s="2">
        <v>100000</v>
      </c>
      <c r="F51" s="2">
        <v>1500</v>
      </c>
      <c r="G51" t="s">
        <v>16</v>
      </c>
      <c r="H51" t="s">
        <v>29</v>
      </c>
      <c r="I51" s="2">
        <v>25</v>
      </c>
    </row>
    <row r="52" spans="1:9" x14ac:dyDescent="0.7">
      <c r="A52" t="s">
        <v>93</v>
      </c>
      <c r="B52" t="s">
        <v>94</v>
      </c>
      <c r="C52" t="s">
        <v>15</v>
      </c>
      <c r="D52">
        <v>2018</v>
      </c>
      <c r="E52" s="2">
        <v>32000</v>
      </c>
      <c r="F52" s="2">
        <v>3000</v>
      </c>
      <c r="G52" t="s">
        <v>16</v>
      </c>
      <c r="H52" t="s">
        <v>77</v>
      </c>
      <c r="I52" s="2">
        <v>360</v>
      </c>
    </row>
    <row r="53" spans="1:9" x14ac:dyDescent="0.7">
      <c r="A53" t="s">
        <v>35</v>
      </c>
      <c r="B53" t="s">
        <v>95</v>
      </c>
      <c r="C53" t="s">
        <v>15</v>
      </c>
      <c r="D53">
        <v>2019</v>
      </c>
      <c r="E53" s="2">
        <v>22000</v>
      </c>
      <c r="F53" s="2">
        <v>3000</v>
      </c>
      <c r="G53" t="s">
        <v>16</v>
      </c>
      <c r="H53" t="s">
        <v>96</v>
      </c>
      <c r="I53" s="2">
        <v>380</v>
      </c>
    </row>
    <row r="54" spans="1:9" x14ac:dyDescent="0.7">
      <c r="E54" s="2"/>
      <c r="F54" s="2"/>
      <c r="I54" s="2"/>
    </row>
    <row r="55" spans="1:9" x14ac:dyDescent="0.7">
      <c r="E55" s="2"/>
      <c r="F55" s="2"/>
      <c r="I55" s="2"/>
    </row>
    <row r="56" spans="1:9" x14ac:dyDescent="0.7">
      <c r="E56" s="2"/>
      <c r="F56" s="2"/>
      <c r="I56" s="2"/>
    </row>
    <row r="57" spans="1:9" x14ac:dyDescent="0.7">
      <c r="E57" s="2"/>
      <c r="F57" s="2"/>
      <c r="I57" s="2"/>
    </row>
    <row r="58" spans="1:9" x14ac:dyDescent="0.7">
      <c r="E58" s="2"/>
      <c r="F58" s="2"/>
      <c r="I58" s="2"/>
    </row>
    <row r="59" spans="1:9" x14ac:dyDescent="0.7">
      <c r="E59" s="2"/>
      <c r="F59" s="2"/>
      <c r="I59" s="2"/>
    </row>
    <row r="60" spans="1:9" x14ac:dyDescent="0.7">
      <c r="E60" s="2"/>
      <c r="F60" s="2"/>
      <c r="I60" s="2"/>
    </row>
    <row r="61" spans="1:9" x14ac:dyDescent="0.7">
      <c r="E61" s="2"/>
      <c r="F61" s="2"/>
      <c r="I61" s="2"/>
    </row>
    <row r="62" spans="1:9" x14ac:dyDescent="0.7">
      <c r="E62" s="2"/>
      <c r="F62" s="2"/>
      <c r="I62" s="2"/>
    </row>
    <row r="63" spans="1:9" x14ac:dyDescent="0.7">
      <c r="E63" s="2"/>
      <c r="F63" s="2"/>
      <c r="I63" s="2"/>
    </row>
    <row r="64" spans="1:9" x14ac:dyDescent="0.7">
      <c r="E64" s="2"/>
      <c r="F64" s="2"/>
      <c r="I64" s="2"/>
    </row>
    <row r="65" spans="5:9" x14ac:dyDescent="0.7">
      <c r="E65" s="2"/>
      <c r="F65" s="2"/>
      <c r="I65" s="2"/>
    </row>
    <row r="66" spans="5:9" x14ac:dyDescent="0.7">
      <c r="E66" s="2"/>
      <c r="F66" s="2"/>
      <c r="I66" s="2"/>
    </row>
    <row r="67" spans="5:9" x14ac:dyDescent="0.7">
      <c r="E67" s="2"/>
      <c r="F67" s="2"/>
      <c r="I67" s="2"/>
    </row>
    <row r="68" spans="5:9" x14ac:dyDescent="0.7">
      <c r="E68" s="2"/>
      <c r="F68" s="2"/>
      <c r="I68" s="2"/>
    </row>
    <row r="69" spans="5:9" x14ac:dyDescent="0.7">
      <c r="E69" s="2"/>
      <c r="F69" s="2"/>
      <c r="I69" s="2"/>
    </row>
    <row r="70" spans="5:9" x14ac:dyDescent="0.7">
      <c r="E70" s="2"/>
      <c r="F70" s="2"/>
      <c r="I70" s="2"/>
    </row>
    <row r="71" spans="5:9" x14ac:dyDescent="0.7">
      <c r="E71" s="2"/>
      <c r="F71" s="2"/>
      <c r="I71" s="2"/>
    </row>
    <row r="72" spans="5:9" x14ac:dyDescent="0.7">
      <c r="E72" s="2"/>
      <c r="F72" s="2"/>
      <c r="I72" s="2"/>
    </row>
    <row r="73" spans="5:9" x14ac:dyDescent="0.7">
      <c r="E73" s="2"/>
      <c r="F73" s="2"/>
      <c r="I73" s="2"/>
    </row>
    <row r="74" spans="5:9" x14ac:dyDescent="0.7">
      <c r="E74" s="2"/>
      <c r="F74" s="2"/>
      <c r="I74" s="2"/>
    </row>
    <row r="75" spans="5:9" x14ac:dyDescent="0.7">
      <c r="E75" s="2"/>
      <c r="F75" s="2"/>
      <c r="I75" s="2"/>
    </row>
    <row r="76" spans="5:9" x14ac:dyDescent="0.7">
      <c r="E76" s="2"/>
      <c r="F76" s="2"/>
      <c r="I76" s="2"/>
    </row>
    <row r="77" spans="5:9" x14ac:dyDescent="0.7">
      <c r="E77" s="2"/>
      <c r="F77" s="2"/>
      <c r="I77" s="2"/>
    </row>
    <row r="78" spans="5:9" x14ac:dyDescent="0.7">
      <c r="E78" s="2"/>
      <c r="F78" s="2"/>
      <c r="I78" s="2"/>
    </row>
    <row r="79" spans="5:9" x14ac:dyDescent="0.7">
      <c r="E79" s="2"/>
      <c r="F79" s="2"/>
      <c r="I79" s="2"/>
    </row>
    <row r="80" spans="5:9" x14ac:dyDescent="0.7">
      <c r="E80" s="2"/>
      <c r="F80" s="2"/>
      <c r="I80" s="2"/>
    </row>
    <row r="81" spans="5:9" x14ac:dyDescent="0.7">
      <c r="E81" s="2"/>
      <c r="F81" s="2"/>
      <c r="I81" s="2"/>
    </row>
    <row r="82" spans="5:9" x14ac:dyDescent="0.7">
      <c r="E82" s="2"/>
      <c r="F82" s="2"/>
      <c r="I82" s="2"/>
    </row>
    <row r="83" spans="5:9" x14ac:dyDescent="0.7">
      <c r="E83" s="2"/>
      <c r="F83" s="2"/>
      <c r="I83" s="2"/>
    </row>
    <row r="84" spans="5:9" x14ac:dyDescent="0.7">
      <c r="E84" s="2"/>
      <c r="F84" s="2"/>
      <c r="I84" s="2"/>
    </row>
    <row r="85" spans="5:9" x14ac:dyDescent="0.7">
      <c r="E85" s="2"/>
      <c r="F85" s="2"/>
      <c r="I85" s="2"/>
    </row>
    <row r="86" spans="5:9" x14ac:dyDescent="0.7">
      <c r="E86" s="2"/>
      <c r="F86" s="2"/>
      <c r="I86" s="2"/>
    </row>
    <row r="87" spans="5:9" x14ac:dyDescent="0.7">
      <c r="E87" s="2"/>
      <c r="F87" s="2"/>
      <c r="I87" s="2"/>
    </row>
    <row r="88" spans="5:9" x14ac:dyDescent="0.7">
      <c r="E88" s="2"/>
      <c r="F88" s="2"/>
      <c r="I88" s="2"/>
    </row>
    <row r="89" spans="5:9" x14ac:dyDescent="0.7">
      <c r="E89" s="2"/>
      <c r="F89" s="2"/>
      <c r="I89" s="2"/>
    </row>
    <row r="90" spans="5:9" x14ac:dyDescent="0.7">
      <c r="E90" s="2"/>
      <c r="F90" s="2"/>
      <c r="I90" s="2"/>
    </row>
    <row r="91" spans="5:9" x14ac:dyDescent="0.7">
      <c r="E91" s="2"/>
      <c r="F91" s="2"/>
      <c r="I91" s="2"/>
    </row>
    <row r="92" spans="5:9" x14ac:dyDescent="0.7">
      <c r="E92" s="2"/>
      <c r="F92" s="2"/>
      <c r="I92" s="2"/>
    </row>
    <row r="93" spans="5:9" x14ac:dyDescent="0.7">
      <c r="E93" s="2"/>
      <c r="F93" s="2"/>
      <c r="I93" s="2"/>
    </row>
    <row r="94" spans="5:9" x14ac:dyDescent="0.7">
      <c r="E94" s="2"/>
      <c r="F94" s="2"/>
      <c r="I94" s="2"/>
    </row>
    <row r="95" spans="5:9" x14ac:dyDescent="0.7">
      <c r="E95" s="2"/>
      <c r="F95" s="2"/>
      <c r="I95" s="2"/>
    </row>
    <row r="96" spans="5:9" x14ac:dyDescent="0.7">
      <c r="E96" s="2"/>
      <c r="F96" s="2"/>
      <c r="I96" s="2"/>
    </row>
    <row r="97" spans="5:9" x14ac:dyDescent="0.7">
      <c r="E97" s="2"/>
      <c r="F97" s="2"/>
      <c r="I97" s="2"/>
    </row>
    <row r="98" spans="5:9" x14ac:dyDescent="0.7">
      <c r="E98" s="2"/>
      <c r="F98" s="2"/>
      <c r="I98" s="2"/>
    </row>
    <row r="99" spans="5:9" x14ac:dyDescent="0.7">
      <c r="E99" s="2"/>
      <c r="F99" s="2"/>
      <c r="I99" s="2"/>
    </row>
    <row r="100" spans="5:9" x14ac:dyDescent="0.7">
      <c r="E100" s="2"/>
      <c r="F100" s="2"/>
      <c r="I100" s="2"/>
    </row>
    <row r="101" spans="5:9" x14ac:dyDescent="0.7">
      <c r="E101" s="2"/>
      <c r="F101" s="2"/>
      <c r="I101" s="2"/>
    </row>
    <row r="102" spans="5:9" x14ac:dyDescent="0.7">
      <c r="E102" s="2"/>
      <c r="F102" s="2"/>
      <c r="I102" s="2"/>
    </row>
    <row r="103" spans="5:9" x14ac:dyDescent="0.7">
      <c r="E103" s="2"/>
      <c r="F103" s="2"/>
      <c r="I103" s="2"/>
    </row>
    <row r="104" spans="5:9" x14ac:dyDescent="0.7">
      <c r="E104" s="2"/>
      <c r="F104" s="2"/>
      <c r="I104" s="2"/>
    </row>
    <row r="105" spans="5:9" x14ac:dyDescent="0.7">
      <c r="E105" s="2"/>
      <c r="F105" s="2"/>
      <c r="I105" s="2"/>
    </row>
    <row r="106" spans="5:9" x14ac:dyDescent="0.7">
      <c r="E106" s="2"/>
      <c r="F106" s="2"/>
      <c r="I106" s="2"/>
    </row>
    <row r="107" spans="5:9" x14ac:dyDescent="0.7">
      <c r="E107" s="2"/>
      <c r="F107" s="2"/>
      <c r="I107" s="2"/>
    </row>
    <row r="108" spans="5:9" x14ac:dyDescent="0.7">
      <c r="E108" s="2"/>
      <c r="F108" s="2"/>
      <c r="I108" s="2"/>
    </row>
    <row r="109" spans="5:9" x14ac:dyDescent="0.7">
      <c r="E109" s="2"/>
      <c r="F109" s="2"/>
      <c r="I109" s="2"/>
    </row>
    <row r="110" spans="5:9" x14ac:dyDescent="0.7">
      <c r="E110" s="2"/>
      <c r="F110" s="2"/>
      <c r="I110" s="2"/>
    </row>
    <row r="111" spans="5:9" x14ac:dyDescent="0.7">
      <c r="E111" s="2"/>
      <c r="F111" s="2"/>
      <c r="I111" s="2"/>
    </row>
    <row r="112" spans="5:9" x14ac:dyDescent="0.7">
      <c r="E112" s="2"/>
      <c r="F112" s="2"/>
      <c r="I112" s="2"/>
    </row>
    <row r="113" spans="5:9" x14ac:dyDescent="0.7">
      <c r="E113" s="2"/>
      <c r="F113" s="2"/>
      <c r="I113" s="2"/>
    </row>
    <row r="114" spans="5:9" x14ac:dyDescent="0.7">
      <c r="E114" s="2"/>
      <c r="F114" s="2"/>
      <c r="I114" s="2"/>
    </row>
    <row r="115" spans="5:9" x14ac:dyDescent="0.7">
      <c r="E115" s="2"/>
      <c r="F115" s="2"/>
      <c r="I115" s="2"/>
    </row>
    <row r="116" spans="5:9" x14ac:dyDescent="0.7">
      <c r="E116" s="2"/>
      <c r="F116" s="2"/>
      <c r="I116" s="2"/>
    </row>
    <row r="117" spans="5:9" x14ac:dyDescent="0.7">
      <c r="E117" s="2"/>
      <c r="F117" s="2"/>
      <c r="I117" s="2"/>
    </row>
    <row r="118" spans="5:9" x14ac:dyDescent="0.7">
      <c r="E118" s="2"/>
      <c r="F118" s="2"/>
      <c r="I118" s="2"/>
    </row>
    <row r="119" spans="5:9" x14ac:dyDescent="0.7">
      <c r="E119" s="2"/>
      <c r="F119" s="2"/>
      <c r="I119" s="2"/>
    </row>
    <row r="120" spans="5:9" x14ac:dyDescent="0.7">
      <c r="E120" s="2"/>
      <c r="F120" s="2"/>
      <c r="I120" s="2"/>
    </row>
    <row r="121" spans="5:9" x14ac:dyDescent="0.7">
      <c r="E121" s="2"/>
      <c r="F121" s="2"/>
      <c r="I121" s="2"/>
    </row>
    <row r="122" spans="5:9" x14ac:dyDescent="0.7">
      <c r="E122" s="2"/>
      <c r="F122" s="2"/>
      <c r="I122" s="2"/>
    </row>
    <row r="123" spans="5:9" x14ac:dyDescent="0.7">
      <c r="E123" s="2"/>
      <c r="F123" s="2"/>
      <c r="I123" s="2"/>
    </row>
    <row r="124" spans="5:9" x14ac:dyDescent="0.7">
      <c r="E124" s="2"/>
      <c r="F124" s="2"/>
      <c r="I124" s="2"/>
    </row>
    <row r="125" spans="5:9" x14ac:dyDescent="0.7">
      <c r="E125" s="2"/>
      <c r="F125" s="2"/>
      <c r="I125" s="2"/>
    </row>
    <row r="126" spans="5:9" x14ac:dyDescent="0.7">
      <c r="E126" s="2"/>
      <c r="F126" s="2"/>
      <c r="I126" s="2"/>
    </row>
    <row r="127" spans="5:9" x14ac:dyDescent="0.7">
      <c r="E127" s="2"/>
      <c r="F127" s="2"/>
      <c r="I127" s="2"/>
    </row>
    <row r="128" spans="5:9" x14ac:dyDescent="0.7">
      <c r="E128" s="2"/>
      <c r="F128" s="2"/>
      <c r="I128" s="2"/>
    </row>
    <row r="129" spans="5:9" x14ac:dyDescent="0.7">
      <c r="E129" s="2"/>
      <c r="F129" s="2"/>
      <c r="I129" s="2"/>
    </row>
    <row r="130" spans="5:9" x14ac:dyDescent="0.7">
      <c r="E130" s="2"/>
      <c r="F130" s="2"/>
      <c r="I130" s="2"/>
    </row>
    <row r="131" spans="5:9" x14ac:dyDescent="0.7">
      <c r="E131" s="2"/>
      <c r="F131" s="2"/>
      <c r="I131" s="2"/>
    </row>
    <row r="132" spans="5:9" x14ac:dyDescent="0.7">
      <c r="E132" s="2"/>
      <c r="F132" s="2"/>
      <c r="I132" s="2"/>
    </row>
    <row r="133" spans="5:9" x14ac:dyDescent="0.7">
      <c r="E133" s="2"/>
      <c r="F133" s="2"/>
      <c r="I133" s="2"/>
    </row>
    <row r="134" spans="5:9" x14ac:dyDescent="0.7">
      <c r="E134" s="2"/>
      <c r="F134" s="2"/>
      <c r="I134" s="2"/>
    </row>
    <row r="135" spans="5:9" x14ac:dyDescent="0.7">
      <c r="E135" s="2"/>
      <c r="F135" s="2"/>
      <c r="I135" s="2"/>
    </row>
    <row r="136" spans="5:9" x14ac:dyDescent="0.7">
      <c r="E136" s="2"/>
      <c r="F136" s="2"/>
      <c r="I136" s="2"/>
    </row>
    <row r="137" spans="5:9" x14ac:dyDescent="0.7">
      <c r="E137" s="2"/>
      <c r="F137" s="2"/>
      <c r="I137" s="2"/>
    </row>
    <row r="138" spans="5:9" x14ac:dyDescent="0.7">
      <c r="E138" s="2"/>
      <c r="F138" s="2"/>
      <c r="I138" s="2"/>
    </row>
    <row r="139" spans="5:9" x14ac:dyDescent="0.7">
      <c r="E139" s="2"/>
      <c r="F139" s="2"/>
      <c r="I139" s="2"/>
    </row>
    <row r="140" spans="5:9" x14ac:dyDescent="0.7">
      <c r="E140" s="2"/>
      <c r="F140" s="2"/>
      <c r="I140" s="2"/>
    </row>
    <row r="141" spans="5:9" x14ac:dyDescent="0.7">
      <c r="E141" s="2"/>
      <c r="F141" s="2"/>
      <c r="I141" s="2"/>
    </row>
    <row r="142" spans="5:9" x14ac:dyDescent="0.7">
      <c r="E142" s="2"/>
      <c r="F142" s="2"/>
      <c r="I142" s="2"/>
    </row>
    <row r="143" spans="5:9" x14ac:dyDescent="0.7">
      <c r="E143" s="2"/>
      <c r="F143" s="2"/>
      <c r="I143" s="2"/>
    </row>
    <row r="144" spans="5:9" x14ac:dyDescent="0.7">
      <c r="E144" s="2"/>
      <c r="F144" s="2"/>
      <c r="I144" s="2"/>
    </row>
    <row r="145" spans="5:9" x14ac:dyDescent="0.7">
      <c r="E145" s="2"/>
      <c r="F145" s="2"/>
      <c r="I145" s="2"/>
    </row>
    <row r="146" spans="5:9" x14ac:dyDescent="0.7">
      <c r="E146" s="2"/>
      <c r="F146" s="2"/>
      <c r="I146" s="2"/>
    </row>
    <row r="147" spans="5:9" x14ac:dyDescent="0.7">
      <c r="E147" s="2"/>
      <c r="F147" s="2"/>
      <c r="I147" s="2"/>
    </row>
    <row r="148" spans="5:9" x14ac:dyDescent="0.7">
      <c r="E148" s="2"/>
      <c r="F148" s="2"/>
      <c r="I148" s="2"/>
    </row>
    <row r="149" spans="5:9" x14ac:dyDescent="0.7">
      <c r="E149" s="2"/>
      <c r="F149" s="2"/>
      <c r="I149" s="2"/>
    </row>
    <row r="150" spans="5:9" x14ac:dyDescent="0.7">
      <c r="E150" s="2"/>
      <c r="F150" s="2"/>
      <c r="I150" s="2"/>
    </row>
    <row r="151" spans="5:9" x14ac:dyDescent="0.7">
      <c r="E151" s="2"/>
      <c r="F151" s="2"/>
      <c r="I151" s="2"/>
    </row>
    <row r="152" spans="5:9" x14ac:dyDescent="0.7">
      <c r="E152" s="2"/>
      <c r="F152" s="2"/>
      <c r="I152" s="2"/>
    </row>
    <row r="153" spans="5:9" x14ac:dyDescent="0.7">
      <c r="E153" s="2"/>
      <c r="F153" s="2"/>
      <c r="I153" s="2"/>
    </row>
    <row r="154" spans="5:9" x14ac:dyDescent="0.7">
      <c r="E154" s="2"/>
      <c r="F154" s="2"/>
      <c r="I154" s="2"/>
    </row>
    <row r="155" spans="5:9" x14ac:dyDescent="0.7">
      <c r="E155" s="2"/>
      <c r="F155" s="2"/>
      <c r="I155" s="2"/>
    </row>
    <row r="156" spans="5:9" x14ac:dyDescent="0.7">
      <c r="E156" s="2"/>
      <c r="F156" s="2"/>
      <c r="I156" s="2"/>
    </row>
    <row r="157" spans="5:9" x14ac:dyDescent="0.7">
      <c r="E157" s="2"/>
      <c r="F157" s="2"/>
      <c r="I157" s="2"/>
    </row>
    <row r="158" spans="5:9" x14ac:dyDescent="0.7">
      <c r="E158" s="2"/>
      <c r="F158" s="2"/>
      <c r="I158" s="2"/>
    </row>
    <row r="159" spans="5:9" x14ac:dyDescent="0.7">
      <c r="E159" s="2"/>
      <c r="F159" s="2"/>
      <c r="I159" s="2"/>
    </row>
    <row r="160" spans="5:9" x14ac:dyDescent="0.7">
      <c r="E160" s="2"/>
      <c r="F160" s="2"/>
      <c r="I160" s="2"/>
    </row>
    <row r="161" spans="1:9" x14ac:dyDescent="0.7">
      <c r="E161" s="2"/>
      <c r="F161" s="2"/>
      <c r="I161" s="2"/>
    </row>
    <row r="162" spans="1:9" x14ac:dyDescent="0.7">
      <c r="E162" s="2"/>
      <c r="F162" s="2"/>
      <c r="I162" s="2"/>
    </row>
    <row r="163" spans="1:9" x14ac:dyDescent="0.7">
      <c r="E163" s="2"/>
      <c r="F163" s="2"/>
      <c r="I163" s="2"/>
    </row>
    <row r="164" spans="1:9" x14ac:dyDescent="0.7">
      <c r="E164" s="2"/>
      <c r="F164" s="2"/>
      <c r="I164" s="2"/>
    </row>
    <row r="165" spans="1:9" x14ac:dyDescent="0.7">
      <c r="E165" s="2"/>
      <c r="F165" s="2"/>
      <c r="I165" s="2"/>
    </row>
    <row r="166" spans="1:9" x14ac:dyDescent="0.7">
      <c r="E166" s="2"/>
      <c r="F166" s="2"/>
      <c r="I166" s="2"/>
    </row>
    <row r="167" spans="1:9" x14ac:dyDescent="0.7">
      <c r="E167" s="2"/>
      <c r="F167" s="2"/>
      <c r="I167" s="2"/>
    </row>
    <row r="168" spans="1:9" x14ac:dyDescent="0.7">
      <c r="E168" s="2"/>
      <c r="F168" s="2"/>
      <c r="I168" s="2"/>
    </row>
    <row r="169" spans="1:9" x14ac:dyDescent="0.7">
      <c r="E169" s="2"/>
      <c r="F169" s="2"/>
      <c r="I169" s="2"/>
    </row>
    <row r="170" spans="1:9" x14ac:dyDescent="0.7">
      <c r="E170" s="2"/>
      <c r="F170" s="2"/>
      <c r="I170" s="2"/>
    </row>
    <row r="171" spans="1:9" x14ac:dyDescent="0.7">
      <c r="E171" s="2"/>
      <c r="F171" s="2"/>
      <c r="I171" s="2"/>
    </row>
    <row r="172" spans="1:9" x14ac:dyDescent="0.7">
      <c r="E172" s="2"/>
      <c r="F172" s="2"/>
      <c r="I172" s="2"/>
    </row>
    <row r="173" spans="1:9" x14ac:dyDescent="0.7">
      <c r="A173" s="1"/>
      <c r="B173" s="1"/>
      <c r="C173" s="1"/>
      <c r="D173" s="1"/>
      <c r="E173" s="3"/>
      <c r="F173" s="3"/>
      <c r="G173" s="1"/>
      <c r="H173" s="1"/>
      <c r="I173" s="3"/>
    </row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312F5-16F6-44A3-A21F-802339B06632}">
  <dimension ref="A1:R173"/>
  <sheetViews>
    <sheetView workbookViewId="0">
      <selection activeCell="J4" sqref="J4"/>
    </sheetView>
  </sheetViews>
  <sheetFormatPr defaultRowHeight="17.649999999999999" x14ac:dyDescent="0.7"/>
  <cols>
    <col min="1" max="1" width="13.5" customWidth="1"/>
    <col min="2" max="2" width="13.6875" customWidth="1"/>
    <col min="3" max="3" width="12.625" customWidth="1"/>
    <col min="4" max="4" width="8.3125" customWidth="1"/>
    <col min="5" max="5" width="11.6875" customWidth="1"/>
    <col min="6" max="6" width="11.1875" customWidth="1"/>
    <col min="8" max="8" width="12.5" customWidth="1"/>
    <col min="9" max="9" width="14.6875" customWidth="1"/>
    <col min="11" max="11" width="16.4375" customWidth="1"/>
    <col min="12" max="12" width="14.75" customWidth="1"/>
  </cols>
  <sheetData>
    <row r="1" spans="1:18" x14ac:dyDescent="0.7">
      <c r="A1" s="6" t="s">
        <v>98</v>
      </c>
      <c r="B1" s="11"/>
    </row>
    <row r="3" spans="1:18" x14ac:dyDescent="0.7">
      <c r="A3" s="10" t="s">
        <v>0</v>
      </c>
      <c r="B3" s="10" t="s">
        <v>1</v>
      </c>
      <c r="C3" s="10" t="s">
        <v>2</v>
      </c>
      <c r="D3" s="10" t="s">
        <v>3</v>
      </c>
      <c r="E3" s="10" t="s">
        <v>97</v>
      </c>
      <c r="F3" s="10" t="s">
        <v>4</v>
      </c>
      <c r="G3" s="10" t="s">
        <v>5</v>
      </c>
      <c r="H3" s="10" t="s">
        <v>6</v>
      </c>
      <c r="I3" s="10" t="s">
        <v>7</v>
      </c>
      <c r="J3" s="10" t="s">
        <v>116</v>
      </c>
      <c r="K3" s="10" t="s">
        <v>117</v>
      </c>
      <c r="L3" s="10" t="s">
        <v>111</v>
      </c>
      <c r="N3" s="20"/>
      <c r="O3" s="21" t="s">
        <v>110</v>
      </c>
      <c r="P3" s="21" t="s">
        <v>101</v>
      </c>
      <c r="Q3" s="21" t="s">
        <v>99</v>
      </c>
      <c r="R3" s="21" t="s">
        <v>102</v>
      </c>
    </row>
    <row r="4" spans="1:18" x14ac:dyDescent="0.7">
      <c r="A4" t="s">
        <v>8</v>
      </c>
      <c r="B4" t="s">
        <v>9</v>
      </c>
      <c r="C4" t="s">
        <v>10</v>
      </c>
      <c r="D4">
        <v>2016</v>
      </c>
      <c r="E4" s="2">
        <v>55000</v>
      </c>
      <c r="F4" s="2">
        <v>2500</v>
      </c>
      <c r="G4" t="s">
        <v>11</v>
      </c>
      <c r="H4" t="s">
        <v>12</v>
      </c>
      <c r="I4" s="2">
        <v>160</v>
      </c>
      <c r="J4" s="5" cm="1">
        <f t="array" ref="J4:J53">D4:D53*Q4+E4:E53*P4+F4:F53*O4+R4</f>
        <v>191.91367241762782</v>
      </c>
      <c r="K4" s="19" cm="1">
        <f t="array" ref="K4:K53">(I4:I53-_xlfn.ANCHORARRAY(J4))^2</f>
        <v>1018.4824871796588</v>
      </c>
      <c r="L4" s="19" cm="1">
        <f t="array" ref="L4:L53">(I4:I53-O6)^2</f>
        <v>9.7344000000000293</v>
      </c>
      <c r="N4" s="21" t="s">
        <v>109</v>
      </c>
      <c r="O4" s="23" cm="1">
        <f t="array" ref="O4:R4">LINEST(I4:I53,D4:F53,TRUE,FALSE)</f>
        <v>6.4423289504450337E-2</v>
      </c>
      <c r="P4" s="23">
        <v>-1.9785046351958289E-3</v>
      </c>
      <c r="Q4" s="23">
        <v>-7.0003127510288365</v>
      </c>
      <c r="R4" s="4">
        <v>14252.303709666407</v>
      </c>
    </row>
    <row r="5" spans="1:18" x14ac:dyDescent="0.7">
      <c r="A5" t="s">
        <v>13</v>
      </c>
      <c r="B5" t="s">
        <v>14</v>
      </c>
      <c r="C5" t="s">
        <v>15</v>
      </c>
      <c r="D5">
        <v>2018</v>
      </c>
      <c r="E5" s="2">
        <v>40000</v>
      </c>
      <c r="F5" s="2">
        <v>2000</v>
      </c>
      <c r="G5" t="s">
        <v>16</v>
      </c>
      <c r="H5" t="s">
        <v>17</v>
      </c>
      <c r="I5" s="2">
        <v>170</v>
      </c>
      <c r="J5" s="5">
        <v>175.37897169128155</v>
      </c>
      <c r="K5" s="19">
        <v>28.933336455608291</v>
      </c>
      <c r="L5" s="19">
        <v>172.13440000000011</v>
      </c>
    </row>
    <row r="6" spans="1:18" x14ac:dyDescent="0.7">
      <c r="A6" t="s">
        <v>18</v>
      </c>
      <c r="B6" t="s">
        <v>19</v>
      </c>
      <c r="C6" t="s">
        <v>20</v>
      </c>
      <c r="D6">
        <v>2019</v>
      </c>
      <c r="E6" s="2">
        <v>20000</v>
      </c>
      <c r="F6" s="2">
        <v>660</v>
      </c>
      <c r="G6" t="s">
        <v>11</v>
      </c>
      <c r="H6" t="s">
        <v>17</v>
      </c>
      <c r="I6" s="2">
        <v>80</v>
      </c>
      <c r="J6" s="5">
        <v>121.62154370820645</v>
      </c>
      <c r="K6" s="19">
        <v>1732.3529006541396</v>
      </c>
      <c r="L6" s="19">
        <v>5910.5343999999996</v>
      </c>
      <c r="N6" s="21" t="s">
        <v>112</v>
      </c>
      <c r="O6" s="22">
        <f>AVERAGE(I4:I53)</f>
        <v>156.88</v>
      </c>
    </row>
    <row r="7" spans="1:18" x14ac:dyDescent="0.7">
      <c r="A7" t="s">
        <v>21</v>
      </c>
      <c r="B7" t="s">
        <v>22</v>
      </c>
      <c r="C7" t="s">
        <v>10</v>
      </c>
      <c r="D7">
        <v>2016</v>
      </c>
      <c r="E7" s="2">
        <v>55000</v>
      </c>
      <c r="F7" s="2">
        <v>2500</v>
      </c>
      <c r="G7" t="s">
        <v>11</v>
      </c>
      <c r="H7" t="s">
        <v>23</v>
      </c>
      <c r="I7" s="2">
        <v>160</v>
      </c>
      <c r="J7" s="5">
        <v>191.91367241762782</v>
      </c>
      <c r="K7" s="19">
        <v>1018.4824871796588</v>
      </c>
      <c r="L7" s="19">
        <v>9.7344000000000293</v>
      </c>
    </row>
    <row r="8" spans="1:18" ht="19.149999999999999" x14ac:dyDescent="0.7">
      <c r="A8" t="s">
        <v>13</v>
      </c>
      <c r="B8" t="s">
        <v>24</v>
      </c>
      <c r="C8" t="s">
        <v>15</v>
      </c>
      <c r="D8">
        <v>2017</v>
      </c>
      <c r="E8" s="2">
        <v>35000</v>
      </c>
      <c r="F8" s="2">
        <v>2500</v>
      </c>
      <c r="G8" t="s">
        <v>16</v>
      </c>
      <c r="H8" t="s">
        <v>25</v>
      </c>
      <c r="I8" s="2">
        <v>200</v>
      </c>
      <c r="J8" s="5">
        <v>224.48345237051399</v>
      </c>
      <c r="K8" s="19">
        <v>599.43943997922702</v>
      </c>
      <c r="L8" s="19">
        <v>1859.3344000000004</v>
      </c>
      <c r="N8" s="10" t="s">
        <v>113</v>
      </c>
    </row>
    <row r="9" spans="1:18" x14ac:dyDescent="0.7">
      <c r="A9" t="s">
        <v>26</v>
      </c>
      <c r="B9" t="s">
        <v>27</v>
      </c>
      <c r="C9" t="s">
        <v>28</v>
      </c>
      <c r="D9">
        <v>2019</v>
      </c>
      <c r="E9" s="2">
        <v>40000</v>
      </c>
      <c r="F9" s="2">
        <v>2500</v>
      </c>
      <c r="G9" t="s">
        <v>16</v>
      </c>
      <c r="H9" t="s">
        <v>29</v>
      </c>
      <c r="I9" s="2">
        <v>80</v>
      </c>
      <c r="J9" s="5">
        <v>200.59030369247739</v>
      </c>
      <c r="K9" s="19">
        <v>14542.021344643927</v>
      </c>
      <c r="L9" s="19">
        <v>5910.5343999999996</v>
      </c>
      <c r="N9" s="23">
        <f>1-SUM(_xlfn.ANCHORARRAY(K4))/SUM(_xlfn.ANCHORARRAY(L4))</f>
        <v>0.62903094877593091</v>
      </c>
    </row>
    <row r="10" spans="1:18" x14ac:dyDescent="0.7">
      <c r="A10" t="s">
        <v>30</v>
      </c>
      <c r="B10" t="s">
        <v>31</v>
      </c>
      <c r="C10" t="s">
        <v>32</v>
      </c>
      <c r="D10">
        <v>1962</v>
      </c>
      <c r="E10" s="2">
        <v>70000</v>
      </c>
      <c r="F10" s="2">
        <v>1600</v>
      </c>
      <c r="G10" t="s">
        <v>33</v>
      </c>
      <c r="H10" t="s">
        <v>34</v>
      </c>
      <c r="I10" s="2">
        <v>550</v>
      </c>
      <c r="J10" s="5">
        <v>482.27203089124305</v>
      </c>
      <c r="K10" s="19">
        <v>4587.0777995967355</v>
      </c>
      <c r="L10" s="19">
        <v>154543.33439999999</v>
      </c>
    </row>
    <row r="11" spans="1:18" x14ac:dyDescent="0.7">
      <c r="A11" t="s">
        <v>35</v>
      </c>
      <c r="B11">
        <v>911</v>
      </c>
      <c r="C11" t="s">
        <v>36</v>
      </c>
      <c r="D11">
        <v>2020</v>
      </c>
      <c r="E11" s="2">
        <v>15000</v>
      </c>
      <c r="F11" s="2">
        <v>3000</v>
      </c>
      <c r="G11" t="s">
        <v>16</v>
      </c>
      <c r="H11" t="s">
        <v>37</v>
      </c>
      <c r="I11" s="2">
        <v>450</v>
      </c>
      <c r="J11" s="5">
        <v>275.26425157356971</v>
      </c>
      <c r="K11" s="19">
        <v>30532.581778144737</v>
      </c>
      <c r="L11" s="19">
        <v>85919.334400000007</v>
      </c>
    </row>
    <row r="12" spans="1:18" x14ac:dyDescent="0.7">
      <c r="A12" t="s">
        <v>26</v>
      </c>
      <c r="B12" t="s">
        <v>38</v>
      </c>
      <c r="C12" t="s">
        <v>20</v>
      </c>
      <c r="D12">
        <v>2017</v>
      </c>
      <c r="E12" s="2">
        <v>30000</v>
      </c>
      <c r="F12" s="2">
        <v>1000</v>
      </c>
      <c r="G12" t="s">
        <v>11</v>
      </c>
      <c r="H12" t="s">
        <v>25</v>
      </c>
      <c r="I12" s="2">
        <v>85</v>
      </c>
      <c r="J12" s="5">
        <v>137.74104128981708</v>
      </c>
      <c r="K12" s="19">
        <v>2781.6174363341897</v>
      </c>
      <c r="L12" s="19">
        <v>5166.7343999999994</v>
      </c>
    </row>
    <row r="13" spans="1:18" x14ac:dyDescent="0.7">
      <c r="A13" t="s">
        <v>13</v>
      </c>
      <c r="B13" t="s">
        <v>39</v>
      </c>
      <c r="C13" t="s">
        <v>36</v>
      </c>
      <c r="D13">
        <v>2017</v>
      </c>
      <c r="E13" s="2">
        <v>40000</v>
      </c>
      <c r="F13" s="2">
        <v>2000</v>
      </c>
      <c r="G13" t="s">
        <v>33</v>
      </c>
      <c r="H13" t="s">
        <v>40</v>
      </c>
      <c r="I13" s="2">
        <v>120</v>
      </c>
      <c r="J13" s="5">
        <v>182.37928444230965</v>
      </c>
      <c r="K13" s="19">
        <v>3891.175127534575</v>
      </c>
      <c r="L13" s="19">
        <v>1360.1343999999997</v>
      </c>
    </row>
    <row r="14" spans="1:18" x14ac:dyDescent="0.7">
      <c r="A14" t="s">
        <v>18</v>
      </c>
      <c r="B14" t="s">
        <v>41</v>
      </c>
      <c r="C14" t="s">
        <v>20</v>
      </c>
      <c r="D14">
        <v>2016</v>
      </c>
      <c r="E14" s="2">
        <v>65000</v>
      </c>
      <c r="F14" s="2">
        <v>1400</v>
      </c>
      <c r="G14" t="s">
        <v>33</v>
      </c>
      <c r="H14" t="s">
        <v>42</v>
      </c>
      <c r="I14" s="2">
        <v>100</v>
      </c>
      <c r="J14" s="5">
        <v>101.26300761077437</v>
      </c>
      <c r="K14" s="19">
        <v>1.5951882248739728</v>
      </c>
      <c r="L14" s="19">
        <v>3235.3343999999993</v>
      </c>
      <c r="N14" t="s">
        <v>123</v>
      </c>
    </row>
    <row r="15" spans="1:18" ht="19.149999999999999" x14ac:dyDescent="0.7">
      <c r="A15" t="s">
        <v>43</v>
      </c>
      <c r="B15" t="s">
        <v>44</v>
      </c>
      <c r="C15" t="s">
        <v>10</v>
      </c>
      <c r="D15">
        <v>2019</v>
      </c>
      <c r="E15" s="2">
        <v>25000</v>
      </c>
      <c r="F15" s="2">
        <v>0</v>
      </c>
      <c r="H15" t="s">
        <v>17</v>
      </c>
      <c r="I15" s="2">
        <v>300</v>
      </c>
      <c r="J15" s="5">
        <v>69.209649459289722</v>
      </c>
      <c r="K15" s="19">
        <v>53264.185902703932</v>
      </c>
      <c r="L15" s="19">
        <v>20483.3344</v>
      </c>
      <c r="N15" t="s">
        <v>122</v>
      </c>
    </row>
    <row r="16" spans="1:18" ht="19.149999999999999" x14ac:dyDescent="0.7">
      <c r="A16" t="s">
        <v>45</v>
      </c>
      <c r="B16" t="s">
        <v>46</v>
      </c>
      <c r="C16" t="s">
        <v>15</v>
      </c>
      <c r="D16">
        <v>2017</v>
      </c>
      <c r="E16" s="2">
        <v>50000</v>
      </c>
      <c r="F16" s="2">
        <v>2000</v>
      </c>
      <c r="G16" t="s">
        <v>16</v>
      </c>
      <c r="H16" t="s">
        <v>23</v>
      </c>
      <c r="I16" s="2">
        <v>240</v>
      </c>
      <c r="J16" s="5">
        <v>162.59423809035252</v>
      </c>
      <c r="K16" s="19">
        <v>5991.6519768130329</v>
      </c>
      <c r="L16" s="19">
        <v>6908.934400000001</v>
      </c>
      <c r="N16" t="s">
        <v>121</v>
      </c>
    </row>
    <row r="17" spans="1:14" ht="19.149999999999999" x14ac:dyDescent="0.7">
      <c r="A17" t="s">
        <v>13</v>
      </c>
      <c r="B17" t="s">
        <v>47</v>
      </c>
      <c r="C17" t="s">
        <v>20</v>
      </c>
      <c r="D17">
        <v>2015</v>
      </c>
      <c r="E17" s="2">
        <v>65000</v>
      </c>
      <c r="F17" s="2">
        <v>1300</v>
      </c>
      <c r="G17" t="s">
        <v>33</v>
      </c>
      <c r="H17" t="s">
        <v>40</v>
      </c>
      <c r="I17" s="2">
        <v>80</v>
      </c>
      <c r="J17" s="5">
        <v>101.82099141135768</v>
      </c>
      <c r="K17" s="19">
        <v>476.15566617454573</v>
      </c>
      <c r="L17" s="19">
        <v>5910.5343999999996</v>
      </c>
      <c r="N17" t="s">
        <v>124</v>
      </c>
    </row>
    <row r="18" spans="1:14" x14ac:dyDescent="0.7">
      <c r="A18" t="s">
        <v>26</v>
      </c>
      <c r="B18" t="s">
        <v>48</v>
      </c>
      <c r="C18" t="s">
        <v>49</v>
      </c>
      <c r="D18">
        <v>2014</v>
      </c>
      <c r="E18" s="2">
        <v>80000</v>
      </c>
      <c r="F18" s="2">
        <v>1000</v>
      </c>
      <c r="G18" t="s">
        <v>11</v>
      </c>
      <c r="H18" t="s">
        <v>29</v>
      </c>
      <c r="I18" s="2">
        <v>28</v>
      </c>
      <c r="J18" s="5">
        <v>59.816747783113897</v>
      </c>
      <c r="K18" s="19">
        <v>1012.3054394942831</v>
      </c>
      <c r="L18" s="19">
        <v>16610.054399999997</v>
      </c>
    </row>
    <row r="19" spans="1:14" x14ac:dyDescent="0.7">
      <c r="A19" t="s">
        <v>50</v>
      </c>
      <c r="B19" t="s">
        <v>51</v>
      </c>
      <c r="C19" t="s">
        <v>49</v>
      </c>
      <c r="D19">
        <v>2017</v>
      </c>
      <c r="E19" s="2">
        <v>55000</v>
      </c>
      <c r="F19" s="2">
        <v>1300</v>
      </c>
      <c r="G19" t="s">
        <v>33</v>
      </c>
      <c r="H19" t="s">
        <v>23</v>
      </c>
      <c r="I19" s="2">
        <v>120</v>
      </c>
      <c r="J19" s="5">
        <v>107.60541226125861</v>
      </c>
      <c r="K19" s="19">
        <v>153.62580521335849</v>
      </c>
      <c r="L19" s="19">
        <v>1360.1343999999997</v>
      </c>
      <c r="N19" t="s">
        <v>129</v>
      </c>
    </row>
    <row r="20" spans="1:14" x14ac:dyDescent="0.7">
      <c r="A20" t="s">
        <v>21</v>
      </c>
      <c r="B20" t="s">
        <v>52</v>
      </c>
      <c r="C20" t="s">
        <v>10</v>
      </c>
      <c r="D20">
        <v>2017</v>
      </c>
      <c r="E20" s="2">
        <v>40000</v>
      </c>
      <c r="F20" s="2">
        <v>1600</v>
      </c>
      <c r="G20" t="s">
        <v>11</v>
      </c>
      <c r="H20" t="s">
        <v>25</v>
      </c>
      <c r="I20" s="2">
        <v>120</v>
      </c>
      <c r="J20" s="5">
        <v>156.60996864052868</v>
      </c>
      <c r="K20" s="19">
        <v>1340.2898038604933</v>
      </c>
      <c r="L20" s="19">
        <v>1360.1343999999997</v>
      </c>
    </row>
    <row r="21" spans="1:14" x14ac:dyDescent="0.7">
      <c r="A21" t="s">
        <v>18</v>
      </c>
      <c r="B21" t="s">
        <v>53</v>
      </c>
      <c r="C21" t="s">
        <v>54</v>
      </c>
      <c r="D21">
        <v>2015</v>
      </c>
      <c r="E21" s="2">
        <v>70000</v>
      </c>
      <c r="F21" s="2">
        <v>1200</v>
      </c>
      <c r="G21" t="s">
        <v>11</v>
      </c>
      <c r="H21" t="s">
        <v>29</v>
      </c>
      <c r="I21" s="2">
        <v>28</v>
      </c>
      <c r="J21" s="5">
        <v>85.486139284934325</v>
      </c>
      <c r="K21" s="19">
        <v>3304.6562098868694</v>
      </c>
      <c r="L21" s="19">
        <v>16610.054399999997</v>
      </c>
    </row>
    <row r="22" spans="1:14" x14ac:dyDescent="0.7">
      <c r="A22" t="s">
        <v>8</v>
      </c>
      <c r="B22" t="s">
        <v>55</v>
      </c>
      <c r="C22" t="s">
        <v>54</v>
      </c>
      <c r="D22">
        <v>2016</v>
      </c>
      <c r="E22" s="2">
        <v>50000</v>
      </c>
      <c r="F22" s="2">
        <v>1600</v>
      </c>
      <c r="G22" t="s">
        <v>11</v>
      </c>
      <c r="H22" t="s">
        <v>56</v>
      </c>
      <c r="I22" s="2">
        <v>150</v>
      </c>
      <c r="J22" s="5">
        <v>143.82523503960147</v>
      </c>
      <c r="K22" s="19">
        <v>38.127722316165503</v>
      </c>
      <c r="L22" s="19">
        <v>47.334399999999938</v>
      </c>
    </row>
    <row r="23" spans="1:14" x14ac:dyDescent="0.7">
      <c r="A23" t="s">
        <v>50</v>
      </c>
      <c r="B23" t="s">
        <v>57</v>
      </c>
      <c r="C23" t="s">
        <v>54</v>
      </c>
      <c r="D23">
        <v>2018</v>
      </c>
      <c r="E23" s="2">
        <v>24000</v>
      </c>
      <c r="F23" s="2">
        <v>660</v>
      </c>
      <c r="G23" t="s">
        <v>11</v>
      </c>
      <c r="H23" t="s">
        <v>17</v>
      </c>
      <c r="I23" s="2">
        <v>76</v>
      </c>
      <c r="J23" s="5">
        <v>120.70783791845133</v>
      </c>
      <c r="K23" s="19">
        <v>1998.7907713425147</v>
      </c>
      <c r="L23" s="19">
        <v>6541.5743999999995</v>
      </c>
    </row>
    <row r="24" spans="1:14" x14ac:dyDescent="0.7">
      <c r="A24" t="s">
        <v>26</v>
      </c>
      <c r="B24" t="s">
        <v>58</v>
      </c>
      <c r="C24" t="s">
        <v>59</v>
      </c>
      <c r="D24">
        <v>2017</v>
      </c>
      <c r="E24" s="2">
        <v>60000</v>
      </c>
      <c r="F24" s="2">
        <v>2000</v>
      </c>
      <c r="G24" t="s">
        <v>11</v>
      </c>
      <c r="H24" t="s">
        <v>34</v>
      </c>
      <c r="I24" s="2">
        <v>170</v>
      </c>
      <c r="J24" s="5">
        <v>142.80919173839357</v>
      </c>
      <c r="K24" s="19">
        <v>739.3400539194447</v>
      </c>
      <c r="L24" s="19">
        <v>172.13440000000011</v>
      </c>
    </row>
    <row r="25" spans="1:14" x14ac:dyDescent="0.7">
      <c r="A25" t="s">
        <v>35</v>
      </c>
      <c r="B25">
        <v>911</v>
      </c>
      <c r="C25" t="s">
        <v>36</v>
      </c>
      <c r="D25">
        <v>1985</v>
      </c>
      <c r="E25" s="2">
        <v>80000</v>
      </c>
      <c r="F25" s="2">
        <v>3200</v>
      </c>
      <c r="G25" t="s">
        <v>33</v>
      </c>
      <c r="H25" t="s">
        <v>23</v>
      </c>
      <c r="I25" s="2">
        <v>300</v>
      </c>
      <c r="J25" s="5">
        <v>404.55705447273976</v>
      </c>
      <c r="K25" s="19">
        <v>10932.17764001547</v>
      </c>
      <c r="L25" s="19">
        <v>20483.3344</v>
      </c>
    </row>
    <row r="26" spans="1:14" x14ac:dyDescent="0.7">
      <c r="A26" t="s">
        <v>50</v>
      </c>
      <c r="B26" t="s">
        <v>60</v>
      </c>
      <c r="C26" t="s">
        <v>61</v>
      </c>
      <c r="D26">
        <v>2010</v>
      </c>
      <c r="E26" s="2">
        <v>120000</v>
      </c>
      <c r="F26" s="2">
        <v>1300</v>
      </c>
      <c r="G26" t="s">
        <v>11</v>
      </c>
      <c r="H26" t="s">
        <v>29</v>
      </c>
      <c r="I26" s="2">
        <v>25</v>
      </c>
      <c r="J26" s="5">
        <v>28.004800230730325</v>
      </c>
      <c r="K26" s="19">
        <v>9.0288244265970139</v>
      </c>
      <c r="L26" s="19">
        <v>17392.3344</v>
      </c>
    </row>
    <row r="27" spans="1:14" x14ac:dyDescent="0.7">
      <c r="A27" t="s">
        <v>21</v>
      </c>
      <c r="B27" t="s">
        <v>62</v>
      </c>
      <c r="C27" t="s">
        <v>10</v>
      </c>
      <c r="D27">
        <v>2016</v>
      </c>
      <c r="E27" s="2">
        <v>70000</v>
      </c>
      <c r="F27" s="2">
        <v>1600</v>
      </c>
      <c r="G27" t="s">
        <v>11</v>
      </c>
      <c r="H27" t="s">
        <v>42</v>
      </c>
      <c r="I27" s="2">
        <v>100</v>
      </c>
      <c r="J27" s="5">
        <v>104.25514233568538</v>
      </c>
      <c r="K27" s="19">
        <v>18.106236296942008</v>
      </c>
      <c r="L27" s="19">
        <v>3235.3343999999993</v>
      </c>
    </row>
    <row r="28" spans="1:14" x14ac:dyDescent="0.7">
      <c r="A28" t="s">
        <v>26</v>
      </c>
      <c r="B28" t="s">
        <v>63</v>
      </c>
      <c r="C28" t="s">
        <v>20</v>
      </c>
      <c r="D28">
        <v>2018</v>
      </c>
      <c r="E28" s="2">
        <v>24000</v>
      </c>
      <c r="F28" s="2">
        <v>660</v>
      </c>
      <c r="G28" t="s">
        <v>11</v>
      </c>
      <c r="H28" t="s">
        <v>34</v>
      </c>
      <c r="I28" s="2">
        <v>75</v>
      </c>
      <c r="J28" s="5">
        <v>120.70783791845133</v>
      </c>
      <c r="K28" s="19">
        <v>2089.2064471794174</v>
      </c>
      <c r="L28" s="19">
        <v>6704.3343999999988</v>
      </c>
    </row>
    <row r="29" spans="1:14" x14ac:dyDescent="0.7">
      <c r="A29" t="s">
        <v>64</v>
      </c>
      <c r="B29" t="s">
        <v>65</v>
      </c>
      <c r="C29" t="s">
        <v>10</v>
      </c>
      <c r="D29">
        <v>2019</v>
      </c>
      <c r="E29" s="2">
        <v>28000</v>
      </c>
      <c r="F29" s="2">
        <v>2000</v>
      </c>
      <c r="G29" t="s">
        <v>16</v>
      </c>
      <c r="H29" t="s">
        <v>17</v>
      </c>
      <c r="I29" s="2">
        <v>270</v>
      </c>
      <c r="J29" s="5">
        <v>192.12071456260492</v>
      </c>
      <c r="K29" s="19">
        <v>6065.1831002392582</v>
      </c>
      <c r="L29" s="19">
        <v>12796.134400000001</v>
      </c>
    </row>
    <row r="30" spans="1:14" x14ac:dyDescent="0.7">
      <c r="A30" t="s">
        <v>26</v>
      </c>
      <c r="B30" t="s">
        <v>66</v>
      </c>
      <c r="C30" t="s">
        <v>61</v>
      </c>
      <c r="D30">
        <v>2013</v>
      </c>
      <c r="E30" s="2">
        <v>90000</v>
      </c>
      <c r="F30" s="2">
        <v>1800</v>
      </c>
      <c r="G30" t="s">
        <v>11</v>
      </c>
      <c r="H30" t="s">
        <v>29</v>
      </c>
      <c r="I30" s="2">
        <v>35</v>
      </c>
      <c r="J30" s="5">
        <v>98.570645785743181</v>
      </c>
      <c r="K30" s="19">
        <v>4041.2270056164275</v>
      </c>
      <c r="L30" s="19">
        <v>14854.734399999999</v>
      </c>
    </row>
    <row r="31" spans="1:14" x14ac:dyDescent="0.7">
      <c r="A31" t="s">
        <v>50</v>
      </c>
      <c r="B31" t="s">
        <v>67</v>
      </c>
      <c r="C31" t="s">
        <v>49</v>
      </c>
      <c r="D31">
        <v>2018</v>
      </c>
      <c r="E31" s="2">
        <v>40000</v>
      </c>
      <c r="F31" s="2">
        <v>1500</v>
      </c>
      <c r="G31" t="s">
        <v>11</v>
      </c>
      <c r="H31" t="s">
        <v>17</v>
      </c>
      <c r="I31" s="2">
        <v>160</v>
      </c>
      <c r="J31" s="5">
        <v>143.16732693905578</v>
      </c>
      <c r="K31" s="19">
        <v>283.33888237663712</v>
      </c>
      <c r="L31" s="19">
        <v>9.7344000000000293</v>
      </c>
    </row>
    <row r="32" spans="1:14" x14ac:dyDescent="0.7">
      <c r="A32" t="s">
        <v>21</v>
      </c>
      <c r="B32" t="s">
        <v>68</v>
      </c>
      <c r="C32" t="s">
        <v>36</v>
      </c>
      <c r="D32">
        <v>2016</v>
      </c>
      <c r="E32" s="2">
        <v>60000</v>
      </c>
      <c r="F32" s="2">
        <v>3700</v>
      </c>
      <c r="G32" t="s">
        <v>33</v>
      </c>
      <c r="H32" t="s">
        <v>34</v>
      </c>
      <c r="I32" s="2">
        <v>250</v>
      </c>
      <c r="J32" s="5">
        <v>259.32909664698855</v>
      </c>
      <c r="K32" s="19">
        <v>87.032044248852941</v>
      </c>
      <c r="L32" s="19">
        <v>8671.3344000000016</v>
      </c>
    </row>
    <row r="33" spans="1:12" x14ac:dyDescent="0.7">
      <c r="A33" t="s">
        <v>50</v>
      </c>
      <c r="B33" t="s">
        <v>69</v>
      </c>
      <c r="C33" t="s">
        <v>54</v>
      </c>
      <c r="D33">
        <v>2018</v>
      </c>
      <c r="E33" s="2">
        <v>22000</v>
      </c>
      <c r="F33" s="2">
        <v>660</v>
      </c>
      <c r="G33" t="s">
        <v>11</v>
      </c>
      <c r="H33" t="s">
        <v>70</v>
      </c>
      <c r="I33" s="2">
        <v>90</v>
      </c>
      <c r="J33" s="5">
        <v>124.66484718884203</v>
      </c>
      <c r="K33" s="19">
        <v>1201.6516306257693</v>
      </c>
      <c r="L33" s="19">
        <v>4472.9343999999992</v>
      </c>
    </row>
    <row r="34" spans="1:12" x14ac:dyDescent="0.7">
      <c r="A34" t="s">
        <v>71</v>
      </c>
      <c r="B34" t="s">
        <v>72</v>
      </c>
      <c r="C34" t="s">
        <v>10</v>
      </c>
      <c r="D34">
        <v>2018</v>
      </c>
      <c r="E34" s="2">
        <v>36000</v>
      </c>
      <c r="F34" s="2">
        <v>2500</v>
      </c>
      <c r="G34" t="s">
        <v>16</v>
      </c>
      <c r="H34" t="s">
        <v>73</v>
      </c>
      <c r="I34" s="2">
        <v>290</v>
      </c>
      <c r="J34" s="5">
        <v>215.50463498429053</v>
      </c>
      <c r="K34" s="19">
        <v>5549.5594088237904</v>
      </c>
      <c r="L34" s="19">
        <v>17720.934400000002</v>
      </c>
    </row>
    <row r="35" spans="1:12" x14ac:dyDescent="0.7">
      <c r="A35" t="s">
        <v>50</v>
      </c>
      <c r="B35" t="s">
        <v>74</v>
      </c>
      <c r="C35" t="s">
        <v>49</v>
      </c>
      <c r="D35">
        <v>2017</v>
      </c>
      <c r="E35" s="2">
        <v>48000</v>
      </c>
      <c r="F35" s="2">
        <v>1300</v>
      </c>
      <c r="G35" t="s">
        <v>11</v>
      </c>
      <c r="H35" t="s">
        <v>75</v>
      </c>
      <c r="I35" s="2">
        <v>150</v>
      </c>
      <c r="J35" s="5">
        <v>121.45494470762787</v>
      </c>
      <c r="K35" s="19">
        <v>814.82018164458191</v>
      </c>
      <c r="L35" s="19">
        <v>47.334399999999938</v>
      </c>
    </row>
    <row r="36" spans="1:12" x14ac:dyDescent="0.7">
      <c r="A36" t="s">
        <v>50</v>
      </c>
      <c r="B36" t="s">
        <v>51</v>
      </c>
      <c r="C36" t="s">
        <v>49</v>
      </c>
      <c r="D36">
        <v>2008</v>
      </c>
      <c r="E36" s="2">
        <v>150000</v>
      </c>
      <c r="F36" s="2">
        <v>1300</v>
      </c>
      <c r="G36" t="s">
        <v>11</v>
      </c>
      <c r="H36" t="s">
        <v>29</v>
      </c>
      <c r="I36" s="2">
        <v>30</v>
      </c>
      <c r="J36" s="5">
        <v>-17.349713323086689</v>
      </c>
      <c r="K36" s="19">
        <v>2241.9953517784929</v>
      </c>
      <c r="L36" s="19">
        <v>16098.534399999999</v>
      </c>
    </row>
    <row r="37" spans="1:12" x14ac:dyDescent="0.7">
      <c r="A37" t="s">
        <v>21</v>
      </c>
      <c r="B37" t="s">
        <v>76</v>
      </c>
      <c r="C37" t="s">
        <v>15</v>
      </c>
      <c r="D37">
        <v>2019</v>
      </c>
      <c r="E37" s="2">
        <v>30000</v>
      </c>
      <c r="F37" s="2">
        <v>3500</v>
      </c>
      <c r="G37" t="s">
        <v>11</v>
      </c>
      <c r="H37" t="s">
        <v>77</v>
      </c>
      <c r="I37" s="2">
        <v>220</v>
      </c>
      <c r="J37" s="5">
        <v>284.79863954888788</v>
      </c>
      <c r="K37" s="19">
        <v>4198.8636873866963</v>
      </c>
      <c r="L37" s="19">
        <v>3984.1344000000004</v>
      </c>
    </row>
    <row r="38" spans="1:12" x14ac:dyDescent="0.7">
      <c r="A38" t="s">
        <v>13</v>
      </c>
      <c r="B38" t="s">
        <v>78</v>
      </c>
      <c r="C38" t="s">
        <v>36</v>
      </c>
      <c r="D38">
        <v>2017</v>
      </c>
      <c r="E38" s="2">
        <v>40000</v>
      </c>
      <c r="F38" s="2">
        <v>2000</v>
      </c>
      <c r="G38" t="s">
        <v>33</v>
      </c>
      <c r="H38" t="s">
        <v>40</v>
      </c>
      <c r="I38" s="2">
        <v>120</v>
      </c>
      <c r="J38" s="5">
        <v>182.37928444230965</v>
      </c>
      <c r="K38" s="19">
        <v>3891.175127534575</v>
      </c>
      <c r="L38" s="19">
        <v>1360.1343999999997</v>
      </c>
    </row>
    <row r="39" spans="1:12" x14ac:dyDescent="0.7">
      <c r="A39" t="s">
        <v>21</v>
      </c>
      <c r="B39" t="s">
        <v>79</v>
      </c>
      <c r="C39" t="s">
        <v>59</v>
      </c>
      <c r="D39">
        <v>2016</v>
      </c>
      <c r="E39" s="2">
        <v>60000</v>
      </c>
      <c r="F39" s="2">
        <v>2500</v>
      </c>
      <c r="G39" t="s">
        <v>11</v>
      </c>
      <c r="H39" t="s">
        <v>80</v>
      </c>
      <c r="I39" s="2">
        <v>150</v>
      </c>
      <c r="J39" s="5">
        <v>182.02114924164744</v>
      </c>
      <c r="K39" s="19">
        <v>1025.3539987558581</v>
      </c>
      <c r="L39" s="19">
        <v>47.334399999999938</v>
      </c>
    </row>
    <row r="40" spans="1:12" x14ac:dyDescent="0.7">
      <c r="A40" t="s">
        <v>81</v>
      </c>
      <c r="B40" t="s">
        <v>82</v>
      </c>
      <c r="C40" t="s">
        <v>54</v>
      </c>
      <c r="D40">
        <v>2019</v>
      </c>
      <c r="E40" s="2">
        <v>18000</v>
      </c>
      <c r="F40" s="2">
        <v>660</v>
      </c>
      <c r="G40" t="s">
        <v>11</v>
      </c>
      <c r="H40" t="s">
        <v>73</v>
      </c>
      <c r="I40" s="2">
        <v>80</v>
      </c>
      <c r="J40" s="5">
        <v>125.57855297859714</v>
      </c>
      <c r="K40" s="19">
        <v>2077.4044916227867</v>
      </c>
      <c r="L40" s="19">
        <v>5910.5343999999996</v>
      </c>
    </row>
    <row r="41" spans="1:12" x14ac:dyDescent="0.7">
      <c r="A41" t="s">
        <v>21</v>
      </c>
      <c r="B41" t="s">
        <v>62</v>
      </c>
      <c r="C41" t="s">
        <v>10</v>
      </c>
      <c r="D41">
        <v>2016</v>
      </c>
      <c r="E41" s="2">
        <v>70000</v>
      </c>
      <c r="F41" s="2">
        <v>1600</v>
      </c>
      <c r="G41" t="s">
        <v>11</v>
      </c>
      <c r="H41" t="s">
        <v>42</v>
      </c>
      <c r="I41" s="2">
        <v>100</v>
      </c>
      <c r="J41" s="5">
        <v>104.25514233568538</v>
      </c>
      <c r="K41" s="19">
        <v>18.106236296942008</v>
      </c>
      <c r="L41" s="19">
        <v>3235.3343999999993</v>
      </c>
    </row>
    <row r="42" spans="1:12" x14ac:dyDescent="0.7">
      <c r="A42" t="s">
        <v>26</v>
      </c>
      <c r="B42" t="s">
        <v>83</v>
      </c>
      <c r="C42" t="s">
        <v>59</v>
      </c>
      <c r="D42">
        <v>2012</v>
      </c>
      <c r="E42" s="2">
        <v>100000</v>
      </c>
      <c r="F42" s="2">
        <v>2000</v>
      </c>
      <c r="G42" t="s">
        <v>11</v>
      </c>
      <c r="H42" t="s">
        <v>29</v>
      </c>
      <c r="I42" s="2">
        <v>32</v>
      </c>
      <c r="J42" s="5">
        <v>98.670570085705549</v>
      </c>
      <c r="K42" s="19">
        <v>4444.964915552976</v>
      </c>
      <c r="L42" s="19">
        <v>15595.014399999998</v>
      </c>
    </row>
    <row r="43" spans="1:12" x14ac:dyDescent="0.7">
      <c r="A43" t="s">
        <v>50</v>
      </c>
      <c r="B43" t="s">
        <v>84</v>
      </c>
      <c r="C43" t="s">
        <v>10</v>
      </c>
      <c r="D43">
        <v>2020</v>
      </c>
      <c r="E43" s="2">
        <v>20000</v>
      </c>
      <c r="F43" s="2">
        <v>1800</v>
      </c>
      <c r="G43" t="s">
        <v>11</v>
      </c>
      <c r="H43" t="s">
        <v>29</v>
      </c>
      <c r="I43" s="2">
        <v>70</v>
      </c>
      <c r="J43" s="5">
        <v>188.06378099225003</v>
      </c>
      <c r="K43" s="19">
        <v>13939.05638218598</v>
      </c>
      <c r="L43" s="19">
        <v>7548.134399999999</v>
      </c>
    </row>
    <row r="44" spans="1:12" x14ac:dyDescent="0.7">
      <c r="A44" t="s">
        <v>64</v>
      </c>
      <c r="B44" t="s">
        <v>85</v>
      </c>
      <c r="C44" t="s">
        <v>10</v>
      </c>
      <c r="D44">
        <v>2016</v>
      </c>
      <c r="E44" s="2">
        <v>58000</v>
      </c>
      <c r="F44" s="2">
        <v>2000</v>
      </c>
      <c r="G44" t="s">
        <v>16</v>
      </c>
      <c r="H44" t="s">
        <v>40</v>
      </c>
      <c r="I44" s="2">
        <v>240</v>
      </c>
      <c r="J44" s="5">
        <v>153.76651375981601</v>
      </c>
      <c r="K44" s="19">
        <v>7436.2141491360017</v>
      </c>
      <c r="L44" s="19">
        <v>6908.934400000001</v>
      </c>
    </row>
    <row r="45" spans="1:12" x14ac:dyDescent="0.7">
      <c r="A45" t="s">
        <v>86</v>
      </c>
      <c r="B45" t="s">
        <v>87</v>
      </c>
      <c r="C45" t="s">
        <v>10</v>
      </c>
      <c r="D45">
        <v>2019</v>
      </c>
      <c r="E45" s="2">
        <v>30000</v>
      </c>
      <c r="F45" s="2">
        <v>2000</v>
      </c>
      <c r="G45" t="s">
        <v>16</v>
      </c>
      <c r="H45" t="s">
        <v>70</v>
      </c>
      <c r="I45" s="2">
        <v>260</v>
      </c>
      <c r="J45" s="5">
        <v>188.1637052922124</v>
      </c>
      <c r="K45" s="19">
        <v>5160.4532373441134</v>
      </c>
      <c r="L45" s="19">
        <v>10633.734400000001</v>
      </c>
    </row>
    <row r="46" spans="1:12" x14ac:dyDescent="0.7">
      <c r="A46" t="s">
        <v>8</v>
      </c>
      <c r="B46" t="s">
        <v>88</v>
      </c>
      <c r="C46" t="s">
        <v>15</v>
      </c>
      <c r="D46">
        <v>2017</v>
      </c>
      <c r="E46" s="2">
        <v>40000</v>
      </c>
      <c r="F46" s="2">
        <v>1600</v>
      </c>
      <c r="G46" t="s">
        <v>11</v>
      </c>
      <c r="H46" t="s">
        <v>12</v>
      </c>
      <c r="I46" s="2">
        <v>130</v>
      </c>
      <c r="J46" s="5">
        <v>156.60996864052868</v>
      </c>
      <c r="K46" s="19">
        <v>708.09043104991963</v>
      </c>
      <c r="L46" s="19">
        <v>722.53439999999978</v>
      </c>
    </row>
    <row r="47" spans="1:12" x14ac:dyDescent="0.7">
      <c r="A47" t="s">
        <v>50</v>
      </c>
      <c r="B47" t="s">
        <v>89</v>
      </c>
      <c r="C47" t="s">
        <v>54</v>
      </c>
      <c r="D47">
        <v>2017</v>
      </c>
      <c r="E47" s="2">
        <v>25000</v>
      </c>
      <c r="F47" s="2">
        <v>660</v>
      </c>
      <c r="G47" t="s">
        <v>11</v>
      </c>
      <c r="H47" t="s">
        <v>40</v>
      </c>
      <c r="I47" s="2">
        <v>85</v>
      </c>
      <c r="J47" s="5">
        <v>125.72964603428227</v>
      </c>
      <c r="K47" s="19">
        <v>1658.9040660779253</v>
      </c>
      <c r="L47" s="19">
        <v>5166.7343999999994</v>
      </c>
    </row>
    <row r="48" spans="1:12" x14ac:dyDescent="0.7">
      <c r="A48" t="s">
        <v>50</v>
      </c>
      <c r="B48" t="s">
        <v>90</v>
      </c>
      <c r="C48" t="s">
        <v>15</v>
      </c>
      <c r="D48">
        <v>2017</v>
      </c>
      <c r="E48" s="2">
        <v>50000</v>
      </c>
      <c r="F48" s="2">
        <v>1800</v>
      </c>
      <c r="G48" t="s">
        <v>11</v>
      </c>
      <c r="H48" t="s">
        <v>75</v>
      </c>
      <c r="I48" s="2">
        <v>150</v>
      </c>
      <c r="J48" s="5">
        <v>149.70958018946112</v>
      </c>
      <c r="K48" s="19">
        <v>8.4343666353438179E-2</v>
      </c>
      <c r="L48" s="19">
        <v>47.334399999999938</v>
      </c>
    </row>
    <row r="49" spans="1:12" x14ac:dyDescent="0.7">
      <c r="A49" t="s">
        <v>18</v>
      </c>
      <c r="B49" t="s">
        <v>91</v>
      </c>
      <c r="C49" t="s">
        <v>49</v>
      </c>
      <c r="D49">
        <v>2007</v>
      </c>
      <c r="E49" s="2">
        <v>180000</v>
      </c>
      <c r="F49" s="2">
        <v>1200</v>
      </c>
      <c r="G49" t="s">
        <v>33</v>
      </c>
      <c r="H49" t="s">
        <v>29</v>
      </c>
      <c r="I49" s="2">
        <v>20</v>
      </c>
      <c r="J49" s="5">
        <v>-76.146868578376598</v>
      </c>
      <c r="K49" s="19">
        <v>9244.2203374276214</v>
      </c>
      <c r="L49" s="19">
        <v>18736.134399999999</v>
      </c>
    </row>
    <row r="50" spans="1:12" x14ac:dyDescent="0.7">
      <c r="A50" t="s">
        <v>26</v>
      </c>
      <c r="B50" t="s">
        <v>66</v>
      </c>
      <c r="C50" t="s">
        <v>61</v>
      </c>
      <c r="D50">
        <v>2017</v>
      </c>
      <c r="E50" s="2">
        <v>45000</v>
      </c>
      <c r="F50" s="2">
        <v>1800</v>
      </c>
      <c r="G50" t="s">
        <v>11</v>
      </c>
      <c r="H50" t="s">
        <v>92</v>
      </c>
      <c r="I50" s="2">
        <v>180</v>
      </c>
      <c r="J50" s="5">
        <v>159.60210336543969</v>
      </c>
      <c r="K50" s="19">
        <v>416.07418711420689</v>
      </c>
      <c r="L50" s="19">
        <v>534.53440000000023</v>
      </c>
    </row>
    <row r="51" spans="1:12" x14ac:dyDescent="0.7">
      <c r="A51" t="s">
        <v>21</v>
      </c>
      <c r="B51" t="s">
        <v>62</v>
      </c>
      <c r="C51" t="s">
        <v>49</v>
      </c>
      <c r="D51">
        <v>2012</v>
      </c>
      <c r="E51" s="2">
        <v>100000</v>
      </c>
      <c r="F51" s="2">
        <v>1500</v>
      </c>
      <c r="G51" t="s">
        <v>16</v>
      </c>
      <c r="H51" t="s">
        <v>29</v>
      </c>
      <c r="I51" s="2">
        <v>25</v>
      </c>
      <c r="J51" s="5">
        <v>66.458925333479783</v>
      </c>
      <c r="K51" s="19">
        <v>1718.8424898070518</v>
      </c>
      <c r="L51" s="19">
        <v>17392.3344</v>
      </c>
    </row>
    <row r="52" spans="1:12" x14ac:dyDescent="0.7">
      <c r="A52" t="s">
        <v>93</v>
      </c>
      <c r="B52" t="s">
        <v>94</v>
      </c>
      <c r="C52" t="s">
        <v>15</v>
      </c>
      <c r="D52">
        <v>2018</v>
      </c>
      <c r="E52" s="2">
        <v>32000</v>
      </c>
      <c r="F52" s="2">
        <v>3000</v>
      </c>
      <c r="G52" t="s">
        <v>16</v>
      </c>
      <c r="H52" t="s">
        <v>77</v>
      </c>
      <c r="I52" s="2">
        <v>360</v>
      </c>
      <c r="J52" s="5">
        <v>255.63029827729952</v>
      </c>
      <c r="K52" s="19">
        <v>10893.034637685469</v>
      </c>
      <c r="L52" s="19">
        <v>41257.734400000001</v>
      </c>
    </row>
    <row r="53" spans="1:12" x14ac:dyDescent="0.7">
      <c r="A53" t="s">
        <v>35</v>
      </c>
      <c r="B53" t="s">
        <v>95</v>
      </c>
      <c r="C53" t="s">
        <v>15</v>
      </c>
      <c r="D53">
        <v>2019</v>
      </c>
      <c r="E53" s="2">
        <v>22000</v>
      </c>
      <c r="F53" s="2">
        <v>3000</v>
      </c>
      <c r="G53" t="s">
        <v>16</v>
      </c>
      <c r="H53" t="s">
        <v>96</v>
      </c>
      <c r="I53" s="2">
        <v>380</v>
      </c>
      <c r="J53" s="5">
        <v>268.41503187822855</v>
      </c>
      <c r="K53" s="19">
        <v>12451.205110736752</v>
      </c>
      <c r="L53" s="19">
        <v>49782.534400000004</v>
      </c>
    </row>
    <row r="54" spans="1:12" x14ac:dyDescent="0.7">
      <c r="E54" s="2"/>
      <c r="F54" s="2"/>
      <c r="I54" s="2"/>
    </row>
    <row r="55" spans="1:12" x14ac:dyDescent="0.7">
      <c r="E55" s="2"/>
      <c r="F55" s="2"/>
      <c r="I55" s="2"/>
    </row>
    <row r="56" spans="1:12" x14ac:dyDescent="0.7">
      <c r="E56" s="2"/>
      <c r="F56" s="2"/>
      <c r="I56" s="2"/>
    </row>
    <row r="57" spans="1:12" x14ac:dyDescent="0.7">
      <c r="E57" s="2"/>
      <c r="F57" s="2"/>
      <c r="I57" s="2"/>
    </row>
    <row r="58" spans="1:12" x14ac:dyDescent="0.7">
      <c r="E58" s="2"/>
      <c r="F58" s="2"/>
      <c r="I58" s="2"/>
    </row>
    <row r="59" spans="1:12" x14ac:dyDescent="0.7">
      <c r="E59" s="2"/>
      <c r="F59" s="2"/>
      <c r="I59" s="2"/>
    </row>
    <row r="60" spans="1:12" x14ac:dyDescent="0.7">
      <c r="E60" s="2"/>
      <c r="F60" s="2"/>
      <c r="I60" s="2"/>
    </row>
    <row r="61" spans="1:12" x14ac:dyDescent="0.7">
      <c r="E61" s="2"/>
      <c r="F61" s="2"/>
      <c r="I61" s="2"/>
    </row>
    <row r="62" spans="1:12" x14ac:dyDescent="0.7">
      <c r="E62" s="2"/>
      <c r="F62" s="2"/>
      <c r="I62" s="2"/>
    </row>
    <row r="63" spans="1:12" x14ac:dyDescent="0.7">
      <c r="E63" s="2"/>
      <c r="F63" s="2"/>
      <c r="I63" s="2"/>
    </row>
    <row r="64" spans="1:12" x14ac:dyDescent="0.7">
      <c r="E64" s="2"/>
      <c r="F64" s="2"/>
      <c r="I64" s="2"/>
    </row>
    <row r="65" spans="5:9" x14ac:dyDescent="0.7">
      <c r="E65" s="2"/>
      <c r="F65" s="2"/>
      <c r="I65" s="2"/>
    </row>
    <row r="66" spans="5:9" x14ac:dyDescent="0.7">
      <c r="E66" s="2"/>
      <c r="F66" s="2"/>
      <c r="I66" s="2"/>
    </row>
    <row r="67" spans="5:9" x14ac:dyDescent="0.7">
      <c r="E67" s="2"/>
      <c r="F67" s="2"/>
      <c r="I67" s="2"/>
    </row>
    <row r="68" spans="5:9" x14ac:dyDescent="0.7">
      <c r="E68" s="2"/>
      <c r="F68" s="2"/>
      <c r="I68" s="2"/>
    </row>
    <row r="69" spans="5:9" x14ac:dyDescent="0.7">
      <c r="E69" s="2"/>
      <c r="F69" s="2"/>
      <c r="I69" s="2"/>
    </row>
    <row r="70" spans="5:9" x14ac:dyDescent="0.7">
      <c r="E70" s="2"/>
      <c r="F70" s="2"/>
      <c r="I70" s="2"/>
    </row>
    <row r="71" spans="5:9" x14ac:dyDescent="0.7">
      <c r="E71" s="2"/>
      <c r="F71" s="2"/>
      <c r="I71" s="2"/>
    </row>
    <row r="72" spans="5:9" x14ac:dyDescent="0.7">
      <c r="E72" s="2"/>
      <c r="F72" s="2"/>
      <c r="I72" s="2"/>
    </row>
    <row r="73" spans="5:9" x14ac:dyDescent="0.7">
      <c r="E73" s="2"/>
      <c r="F73" s="2"/>
      <c r="I73" s="2"/>
    </row>
    <row r="74" spans="5:9" x14ac:dyDescent="0.7">
      <c r="E74" s="2"/>
      <c r="F74" s="2"/>
      <c r="I74" s="2"/>
    </row>
    <row r="75" spans="5:9" x14ac:dyDescent="0.7">
      <c r="E75" s="2"/>
      <c r="F75" s="2"/>
      <c r="I75" s="2"/>
    </row>
    <row r="76" spans="5:9" x14ac:dyDescent="0.7">
      <c r="E76" s="2"/>
      <c r="F76" s="2"/>
      <c r="I76" s="2"/>
    </row>
    <row r="77" spans="5:9" x14ac:dyDescent="0.7">
      <c r="E77" s="2"/>
      <c r="F77" s="2"/>
      <c r="I77" s="2"/>
    </row>
    <row r="78" spans="5:9" x14ac:dyDescent="0.7">
      <c r="E78" s="2"/>
      <c r="F78" s="2"/>
      <c r="I78" s="2"/>
    </row>
    <row r="79" spans="5:9" x14ac:dyDescent="0.7">
      <c r="E79" s="2"/>
      <c r="F79" s="2"/>
      <c r="I79" s="2"/>
    </row>
    <row r="80" spans="5:9" x14ac:dyDescent="0.7">
      <c r="E80" s="2"/>
      <c r="F80" s="2"/>
      <c r="I80" s="2"/>
    </row>
    <row r="81" spans="5:9" x14ac:dyDescent="0.7">
      <c r="E81" s="2"/>
      <c r="F81" s="2"/>
      <c r="I81" s="2"/>
    </row>
    <row r="82" spans="5:9" x14ac:dyDescent="0.7">
      <c r="E82" s="2"/>
      <c r="F82" s="2"/>
      <c r="I82" s="2"/>
    </row>
    <row r="83" spans="5:9" x14ac:dyDescent="0.7">
      <c r="E83" s="2"/>
      <c r="F83" s="2"/>
      <c r="I83" s="2"/>
    </row>
    <row r="84" spans="5:9" x14ac:dyDescent="0.7">
      <c r="E84" s="2"/>
      <c r="F84" s="2"/>
      <c r="I84" s="2"/>
    </row>
    <row r="85" spans="5:9" x14ac:dyDescent="0.7">
      <c r="E85" s="2"/>
      <c r="F85" s="2"/>
      <c r="I85" s="2"/>
    </row>
    <row r="86" spans="5:9" x14ac:dyDescent="0.7">
      <c r="E86" s="2"/>
      <c r="F86" s="2"/>
      <c r="I86" s="2"/>
    </row>
    <row r="87" spans="5:9" x14ac:dyDescent="0.7">
      <c r="E87" s="2"/>
      <c r="F87" s="2"/>
      <c r="I87" s="2"/>
    </row>
    <row r="88" spans="5:9" x14ac:dyDescent="0.7">
      <c r="E88" s="2"/>
      <c r="F88" s="2"/>
      <c r="I88" s="2"/>
    </row>
    <row r="89" spans="5:9" x14ac:dyDescent="0.7">
      <c r="E89" s="2"/>
      <c r="F89" s="2"/>
      <c r="I89" s="2"/>
    </row>
    <row r="90" spans="5:9" x14ac:dyDescent="0.7">
      <c r="E90" s="2"/>
      <c r="F90" s="2"/>
      <c r="I90" s="2"/>
    </row>
    <row r="91" spans="5:9" x14ac:dyDescent="0.7">
      <c r="E91" s="2"/>
      <c r="F91" s="2"/>
      <c r="I91" s="2"/>
    </row>
    <row r="92" spans="5:9" x14ac:dyDescent="0.7">
      <c r="E92" s="2"/>
      <c r="F92" s="2"/>
      <c r="I92" s="2"/>
    </row>
    <row r="93" spans="5:9" x14ac:dyDescent="0.7">
      <c r="E93" s="2"/>
      <c r="F93" s="2"/>
      <c r="I93" s="2"/>
    </row>
    <row r="94" spans="5:9" x14ac:dyDescent="0.7">
      <c r="E94" s="2"/>
      <c r="F94" s="2"/>
      <c r="I94" s="2"/>
    </row>
    <row r="95" spans="5:9" x14ac:dyDescent="0.7">
      <c r="E95" s="2"/>
      <c r="F95" s="2"/>
      <c r="I95" s="2"/>
    </row>
    <row r="96" spans="5:9" x14ac:dyDescent="0.7">
      <c r="E96" s="2"/>
      <c r="F96" s="2"/>
      <c r="I96" s="2"/>
    </row>
    <row r="97" spans="5:9" x14ac:dyDescent="0.7">
      <c r="E97" s="2"/>
      <c r="F97" s="2"/>
      <c r="I97" s="2"/>
    </row>
    <row r="98" spans="5:9" x14ac:dyDescent="0.7">
      <c r="E98" s="2"/>
      <c r="F98" s="2"/>
      <c r="I98" s="2"/>
    </row>
    <row r="99" spans="5:9" x14ac:dyDescent="0.7">
      <c r="E99" s="2"/>
      <c r="F99" s="2"/>
      <c r="I99" s="2"/>
    </row>
    <row r="100" spans="5:9" x14ac:dyDescent="0.7">
      <c r="E100" s="2"/>
      <c r="F100" s="2"/>
      <c r="I100" s="2"/>
    </row>
    <row r="101" spans="5:9" x14ac:dyDescent="0.7">
      <c r="E101" s="2"/>
      <c r="F101" s="2"/>
      <c r="I101" s="2"/>
    </row>
    <row r="102" spans="5:9" x14ac:dyDescent="0.7">
      <c r="E102" s="2"/>
      <c r="F102" s="2"/>
      <c r="I102" s="2"/>
    </row>
    <row r="103" spans="5:9" x14ac:dyDescent="0.7">
      <c r="E103" s="2"/>
      <c r="F103" s="2"/>
      <c r="I103" s="2"/>
    </row>
    <row r="104" spans="5:9" x14ac:dyDescent="0.7">
      <c r="E104" s="2"/>
      <c r="F104" s="2"/>
      <c r="I104" s="2"/>
    </row>
    <row r="105" spans="5:9" x14ac:dyDescent="0.7">
      <c r="E105" s="2"/>
      <c r="F105" s="2"/>
      <c r="I105" s="2"/>
    </row>
    <row r="106" spans="5:9" x14ac:dyDescent="0.7">
      <c r="E106" s="2"/>
      <c r="F106" s="2"/>
      <c r="I106" s="2"/>
    </row>
    <row r="107" spans="5:9" x14ac:dyDescent="0.7">
      <c r="E107" s="2"/>
      <c r="F107" s="2"/>
      <c r="I107" s="2"/>
    </row>
    <row r="108" spans="5:9" x14ac:dyDescent="0.7">
      <c r="E108" s="2"/>
      <c r="F108" s="2"/>
      <c r="I108" s="2"/>
    </row>
    <row r="109" spans="5:9" x14ac:dyDescent="0.7">
      <c r="E109" s="2"/>
      <c r="F109" s="2"/>
      <c r="I109" s="2"/>
    </row>
    <row r="110" spans="5:9" x14ac:dyDescent="0.7">
      <c r="E110" s="2"/>
      <c r="F110" s="2"/>
      <c r="I110" s="2"/>
    </row>
    <row r="111" spans="5:9" x14ac:dyDescent="0.7">
      <c r="E111" s="2"/>
      <c r="F111" s="2"/>
      <c r="I111" s="2"/>
    </row>
    <row r="112" spans="5:9" x14ac:dyDescent="0.7">
      <c r="E112" s="2"/>
      <c r="F112" s="2"/>
      <c r="I112" s="2"/>
    </row>
    <row r="113" spans="5:9" x14ac:dyDescent="0.7">
      <c r="E113" s="2"/>
      <c r="F113" s="2"/>
      <c r="I113" s="2"/>
    </row>
    <row r="114" spans="5:9" x14ac:dyDescent="0.7">
      <c r="E114" s="2"/>
      <c r="F114" s="2"/>
      <c r="I114" s="2"/>
    </row>
    <row r="115" spans="5:9" x14ac:dyDescent="0.7">
      <c r="E115" s="2"/>
      <c r="F115" s="2"/>
      <c r="I115" s="2"/>
    </row>
    <row r="116" spans="5:9" x14ac:dyDescent="0.7">
      <c r="E116" s="2"/>
      <c r="F116" s="2"/>
      <c r="I116" s="2"/>
    </row>
    <row r="117" spans="5:9" x14ac:dyDescent="0.7">
      <c r="E117" s="2"/>
      <c r="F117" s="2"/>
      <c r="I117" s="2"/>
    </row>
    <row r="118" spans="5:9" x14ac:dyDescent="0.7">
      <c r="E118" s="2"/>
      <c r="F118" s="2"/>
      <c r="I118" s="2"/>
    </row>
    <row r="119" spans="5:9" x14ac:dyDescent="0.7">
      <c r="E119" s="2"/>
      <c r="F119" s="2"/>
      <c r="I119" s="2"/>
    </row>
    <row r="120" spans="5:9" x14ac:dyDescent="0.7">
      <c r="E120" s="2"/>
      <c r="F120" s="2"/>
      <c r="I120" s="2"/>
    </row>
    <row r="121" spans="5:9" x14ac:dyDescent="0.7">
      <c r="E121" s="2"/>
      <c r="F121" s="2"/>
      <c r="I121" s="2"/>
    </row>
    <row r="122" spans="5:9" x14ac:dyDescent="0.7">
      <c r="E122" s="2"/>
      <c r="F122" s="2"/>
      <c r="I122" s="2"/>
    </row>
    <row r="123" spans="5:9" x14ac:dyDescent="0.7">
      <c r="E123" s="2"/>
      <c r="F123" s="2"/>
      <c r="I123" s="2"/>
    </row>
    <row r="124" spans="5:9" x14ac:dyDescent="0.7">
      <c r="E124" s="2"/>
      <c r="F124" s="2"/>
      <c r="I124" s="2"/>
    </row>
    <row r="125" spans="5:9" x14ac:dyDescent="0.7">
      <c r="E125" s="2"/>
      <c r="F125" s="2"/>
      <c r="I125" s="2"/>
    </row>
    <row r="126" spans="5:9" x14ac:dyDescent="0.7">
      <c r="E126" s="2"/>
      <c r="F126" s="2"/>
      <c r="I126" s="2"/>
    </row>
    <row r="127" spans="5:9" x14ac:dyDescent="0.7">
      <c r="E127" s="2"/>
      <c r="F127" s="2"/>
      <c r="I127" s="2"/>
    </row>
    <row r="128" spans="5:9" x14ac:dyDescent="0.7">
      <c r="E128" s="2"/>
      <c r="F128" s="2"/>
      <c r="I128" s="2"/>
    </row>
    <row r="129" spans="5:9" x14ac:dyDescent="0.7">
      <c r="E129" s="2"/>
      <c r="F129" s="2"/>
      <c r="I129" s="2"/>
    </row>
    <row r="130" spans="5:9" x14ac:dyDescent="0.7">
      <c r="E130" s="2"/>
      <c r="F130" s="2"/>
      <c r="I130" s="2"/>
    </row>
    <row r="131" spans="5:9" x14ac:dyDescent="0.7">
      <c r="E131" s="2"/>
      <c r="F131" s="2"/>
      <c r="I131" s="2"/>
    </row>
    <row r="132" spans="5:9" x14ac:dyDescent="0.7">
      <c r="E132" s="2"/>
      <c r="F132" s="2"/>
      <c r="I132" s="2"/>
    </row>
    <row r="133" spans="5:9" x14ac:dyDescent="0.7">
      <c r="E133" s="2"/>
      <c r="F133" s="2"/>
      <c r="I133" s="2"/>
    </row>
    <row r="134" spans="5:9" x14ac:dyDescent="0.7">
      <c r="E134" s="2"/>
      <c r="F134" s="2"/>
      <c r="I134" s="2"/>
    </row>
    <row r="135" spans="5:9" x14ac:dyDescent="0.7">
      <c r="E135" s="2"/>
      <c r="F135" s="2"/>
      <c r="I135" s="2"/>
    </row>
    <row r="136" spans="5:9" x14ac:dyDescent="0.7">
      <c r="E136" s="2"/>
      <c r="F136" s="2"/>
      <c r="I136" s="2"/>
    </row>
    <row r="137" spans="5:9" x14ac:dyDescent="0.7">
      <c r="E137" s="2"/>
      <c r="F137" s="2"/>
      <c r="I137" s="2"/>
    </row>
    <row r="138" spans="5:9" x14ac:dyDescent="0.7">
      <c r="E138" s="2"/>
      <c r="F138" s="2"/>
      <c r="I138" s="2"/>
    </row>
    <row r="139" spans="5:9" x14ac:dyDescent="0.7">
      <c r="E139" s="2"/>
      <c r="F139" s="2"/>
      <c r="I139" s="2"/>
    </row>
    <row r="140" spans="5:9" x14ac:dyDescent="0.7">
      <c r="E140" s="2"/>
      <c r="F140" s="2"/>
      <c r="I140" s="2"/>
    </row>
    <row r="141" spans="5:9" x14ac:dyDescent="0.7">
      <c r="E141" s="2"/>
      <c r="F141" s="2"/>
      <c r="I141" s="2"/>
    </row>
    <row r="142" spans="5:9" x14ac:dyDescent="0.7">
      <c r="E142" s="2"/>
      <c r="F142" s="2"/>
      <c r="I142" s="2"/>
    </row>
    <row r="143" spans="5:9" x14ac:dyDescent="0.7">
      <c r="E143" s="2"/>
      <c r="F143" s="2"/>
      <c r="I143" s="2"/>
    </row>
    <row r="144" spans="5:9" x14ac:dyDescent="0.7">
      <c r="E144" s="2"/>
      <c r="F144" s="2"/>
      <c r="I144" s="2"/>
    </row>
    <row r="145" spans="5:9" x14ac:dyDescent="0.7">
      <c r="E145" s="2"/>
      <c r="F145" s="2"/>
      <c r="I145" s="2"/>
    </row>
    <row r="146" spans="5:9" x14ac:dyDescent="0.7">
      <c r="E146" s="2"/>
      <c r="F146" s="2"/>
      <c r="I146" s="2"/>
    </row>
    <row r="147" spans="5:9" x14ac:dyDescent="0.7">
      <c r="E147" s="2"/>
      <c r="F147" s="2"/>
      <c r="I147" s="2"/>
    </row>
    <row r="148" spans="5:9" x14ac:dyDescent="0.7">
      <c r="E148" s="2"/>
      <c r="F148" s="2"/>
      <c r="I148" s="2"/>
    </row>
    <row r="149" spans="5:9" x14ac:dyDescent="0.7">
      <c r="E149" s="2"/>
      <c r="F149" s="2"/>
      <c r="I149" s="2"/>
    </row>
    <row r="150" spans="5:9" x14ac:dyDescent="0.7">
      <c r="E150" s="2"/>
      <c r="F150" s="2"/>
      <c r="I150" s="2"/>
    </row>
    <row r="151" spans="5:9" x14ac:dyDescent="0.7">
      <c r="E151" s="2"/>
      <c r="F151" s="2"/>
      <c r="I151" s="2"/>
    </row>
    <row r="152" spans="5:9" x14ac:dyDescent="0.7">
      <c r="E152" s="2"/>
      <c r="F152" s="2"/>
      <c r="I152" s="2"/>
    </row>
    <row r="153" spans="5:9" x14ac:dyDescent="0.7">
      <c r="E153" s="2"/>
      <c r="F153" s="2"/>
      <c r="I153" s="2"/>
    </row>
    <row r="154" spans="5:9" x14ac:dyDescent="0.7">
      <c r="E154" s="2"/>
      <c r="F154" s="2"/>
      <c r="I154" s="2"/>
    </row>
    <row r="155" spans="5:9" x14ac:dyDescent="0.7">
      <c r="E155" s="2"/>
      <c r="F155" s="2"/>
      <c r="I155" s="2"/>
    </row>
    <row r="156" spans="5:9" x14ac:dyDescent="0.7">
      <c r="E156" s="2"/>
      <c r="F156" s="2"/>
      <c r="I156" s="2"/>
    </row>
    <row r="157" spans="5:9" x14ac:dyDescent="0.7">
      <c r="E157" s="2"/>
      <c r="F157" s="2"/>
      <c r="I157" s="2"/>
    </row>
    <row r="158" spans="5:9" x14ac:dyDescent="0.7">
      <c r="E158" s="2"/>
      <c r="F158" s="2"/>
      <c r="I158" s="2"/>
    </row>
    <row r="159" spans="5:9" x14ac:dyDescent="0.7">
      <c r="E159" s="2"/>
      <c r="F159" s="2"/>
      <c r="I159" s="2"/>
    </row>
    <row r="160" spans="5:9" x14ac:dyDescent="0.7">
      <c r="E160" s="2"/>
      <c r="F160" s="2"/>
      <c r="I160" s="2"/>
    </row>
    <row r="161" spans="1:9" x14ac:dyDescent="0.7">
      <c r="E161" s="2"/>
      <c r="F161" s="2"/>
      <c r="I161" s="2"/>
    </row>
    <row r="162" spans="1:9" x14ac:dyDescent="0.7">
      <c r="E162" s="2"/>
      <c r="F162" s="2"/>
      <c r="I162" s="2"/>
    </row>
    <row r="163" spans="1:9" x14ac:dyDescent="0.7">
      <c r="E163" s="2"/>
      <c r="F163" s="2"/>
      <c r="I163" s="2"/>
    </row>
    <row r="164" spans="1:9" x14ac:dyDescent="0.7">
      <c r="E164" s="2"/>
      <c r="F164" s="2"/>
      <c r="I164" s="2"/>
    </row>
    <row r="165" spans="1:9" x14ac:dyDescent="0.7">
      <c r="E165" s="2"/>
      <c r="F165" s="2"/>
      <c r="I165" s="2"/>
    </row>
    <row r="166" spans="1:9" x14ac:dyDescent="0.7">
      <c r="E166" s="2"/>
      <c r="F166" s="2"/>
      <c r="I166" s="2"/>
    </row>
    <row r="167" spans="1:9" x14ac:dyDescent="0.7">
      <c r="E167" s="2"/>
      <c r="F167" s="2"/>
      <c r="I167" s="2"/>
    </row>
    <row r="168" spans="1:9" x14ac:dyDescent="0.7">
      <c r="E168" s="2"/>
      <c r="F168" s="2"/>
      <c r="I168" s="2"/>
    </row>
    <row r="169" spans="1:9" x14ac:dyDescent="0.7">
      <c r="E169" s="2"/>
      <c r="F169" s="2"/>
      <c r="I169" s="2"/>
    </row>
    <row r="170" spans="1:9" x14ac:dyDescent="0.7">
      <c r="E170" s="2"/>
      <c r="F170" s="2"/>
      <c r="I170" s="2"/>
    </row>
    <row r="171" spans="1:9" x14ac:dyDescent="0.7">
      <c r="E171" s="2"/>
      <c r="F171" s="2"/>
      <c r="I171" s="2"/>
    </row>
    <row r="172" spans="1:9" x14ac:dyDescent="0.7">
      <c r="E172" s="2"/>
      <c r="F172" s="2"/>
      <c r="I172" s="2"/>
    </row>
    <row r="173" spans="1:9" x14ac:dyDescent="0.7">
      <c r="A173" s="1"/>
      <c r="B173" s="1"/>
      <c r="C173" s="1"/>
      <c r="D173" s="1"/>
      <c r="E173" s="3"/>
      <c r="F173" s="3"/>
      <c r="G173" s="1"/>
      <c r="H173" s="1"/>
      <c r="I173" s="3"/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C052A-1790-482F-8765-C10D35A37D81}">
  <dimension ref="A1:P205"/>
  <sheetViews>
    <sheetView zoomScaleNormal="100" workbookViewId="0">
      <selection activeCell="B6" sqref="B6"/>
    </sheetView>
  </sheetViews>
  <sheetFormatPr defaultRowHeight="17.649999999999999" x14ac:dyDescent="0.7"/>
  <cols>
    <col min="2" max="3" width="9" customWidth="1"/>
  </cols>
  <sheetData>
    <row r="1" spans="1:16" x14ac:dyDescent="0.7">
      <c r="A1" s="6" t="s">
        <v>118</v>
      </c>
      <c r="B1" s="6"/>
      <c r="C1" s="6"/>
    </row>
    <row r="3" spans="1:16" ht="19.149999999999999" x14ac:dyDescent="0.7">
      <c r="A3" s="7" t="s">
        <v>113</v>
      </c>
      <c r="B3" s="4">
        <v>5.0000000000000001E-3</v>
      </c>
      <c r="C3" s="7" t="s">
        <v>115</v>
      </c>
      <c r="D3" s="4">
        <v>3</v>
      </c>
    </row>
    <row r="5" spans="1:16" x14ac:dyDescent="0.7">
      <c r="A5" s="21" t="s">
        <v>114</v>
      </c>
      <c r="B5" s="21" t="s">
        <v>120</v>
      </c>
      <c r="C5" s="21" t="s">
        <v>119</v>
      </c>
    </row>
    <row r="6" spans="1:16" x14ac:dyDescent="0.7">
      <c r="A6" cm="1">
        <f t="array" ref="A6:A205">_xlfn.SEQUENCE(200,1,10,10)</f>
        <v>10</v>
      </c>
      <c r="B6" s="24" cm="1">
        <f t="array" ref="B6:B205">(B3/D3)/((1-B3)/(_xlfn.ANCHORARRAY(A6)-D3-1))</f>
        <v>1.0050251256281407E-2</v>
      </c>
      <c r="C6" s="24" cm="1">
        <f t="array" ref="C6:C205">_xlfn.F.DIST.RT(_xlfn.ANCHORARRAY(B6),D3,_xlfn.ANCHORARRAY(A6)-D3-1)</f>
        <v>0.99846246811984229</v>
      </c>
      <c r="O6" s="24"/>
      <c r="P6" s="24"/>
    </row>
    <row r="7" spans="1:16" x14ac:dyDescent="0.7">
      <c r="A7">
        <v>20</v>
      </c>
      <c r="B7" s="24">
        <v>2.6800670016750419E-2</v>
      </c>
      <c r="C7" s="24">
        <v>0.99383570916785335</v>
      </c>
    </row>
    <row r="8" spans="1:16" x14ac:dyDescent="0.7">
      <c r="A8">
        <v>30</v>
      </c>
      <c r="B8" s="24">
        <v>4.3551088777219429E-2</v>
      </c>
      <c r="C8" s="24">
        <v>0.98763082380823941</v>
      </c>
    </row>
    <row r="9" spans="1:16" x14ac:dyDescent="0.7">
      <c r="A9">
        <v>40</v>
      </c>
      <c r="B9" s="24">
        <v>6.0301507537688447E-2</v>
      </c>
      <c r="C9" s="24">
        <v>0.98029706081318801</v>
      </c>
    </row>
    <row r="10" spans="1:16" x14ac:dyDescent="0.7">
      <c r="A10">
        <v>50</v>
      </c>
      <c r="B10" s="24">
        <v>7.705192629815745E-2</v>
      </c>
      <c r="C10" s="24">
        <v>0.97208372449351144</v>
      </c>
    </row>
    <row r="11" spans="1:16" x14ac:dyDescent="0.7">
      <c r="A11">
        <v>60</v>
      </c>
      <c r="B11" s="24">
        <v>9.380234505862646E-2</v>
      </c>
      <c r="C11" s="24">
        <v>0.96315851862622293</v>
      </c>
    </row>
    <row r="12" spans="1:16" x14ac:dyDescent="0.7">
      <c r="A12">
        <v>70</v>
      </c>
      <c r="B12" s="24">
        <v>0.11055276381909548</v>
      </c>
      <c r="C12" s="24">
        <v>0.95364530269948133</v>
      </c>
    </row>
    <row r="13" spans="1:16" x14ac:dyDescent="0.7">
      <c r="A13">
        <v>80</v>
      </c>
      <c r="B13" s="24">
        <v>0.12730318257956449</v>
      </c>
      <c r="C13" s="24">
        <v>0.94364078403655216</v>
      </c>
    </row>
    <row r="14" spans="1:16" x14ac:dyDescent="0.7">
      <c r="A14">
        <v>90</v>
      </c>
      <c r="B14" s="24">
        <v>0.1440536013400335</v>
      </c>
      <c r="C14" s="24">
        <v>0.93322329051717445</v>
      </c>
    </row>
    <row r="15" spans="1:16" x14ac:dyDescent="0.7">
      <c r="A15">
        <v>100</v>
      </c>
      <c r="B15" s="24">
        <v>0.16080402010050251</v>
      </c>
      <c r="C15" s="24">
        <v>0.92245792176938812</v>
      </c>
    </row>
    <row r="16" spans="1:16" x14ac:dyDescent="0.7">
      <c r="A16">
        <v>110</v>
      </c>
      <c r="B16" s="24">
        <v>0.17755443886097155</v>
      </c>
      <c r="C16" s="24">
        <v>0.91139981958232386</v>
      </c>
    </row>
    <row r="17" spans="1:5" x14ac:dyDescent="0.7">
      <c r="A17">
        <v>120</v>
      </c>
      <c r="B17" s="24">
        <v>0.19430485762144054</v>
      </c>
      <c r="C17" s="24">
        <v>0.90009636896995804</v>
      </c>
    </row>
    <row r="18" spans="1:5" x14ac:dyDescent="0.7">
      <c r="A18">
        <v>130</v>
      </c>
      <c r="B18" s="24">
        <v>0.21105527638190957</v>
      </c>
      <c r="C18" s="24">
        <v>0.88858874828661882</v>
      </c>
    </row>
    <row r="19" spans="1:5" x14ac:dyDescent="0.7">
      <c r="A19">
        <v>140</v>
      </c>
      <c r="B19" s="24">
        <v>0.22780569514237856</v>
      </c>
      <c r="C19" s="24">
        <v>0.87691306130799895</v>
      </c>
    </row>
    <row r="20" spans="1:5" x14ac:dyDescent="0.7">
      <c r="A20">
        <v>150</v>
      </c>
      <c r="B20" s="24">
        <v>0.24455611390284759</v>
      </c>
      <c r="C20" s="24">
        <v>0.86510118900567157</v>
      </c>
    </row>
    <row r="21" spans="1:5" x14ac:dyDescent="0.7">
      <c r="A21">
        <v>160</v>
      </c>
      <c r="B21" s="24">
        <v>0.2613065326633166</v>
      </c>
      <c r="C21" s="24">
        <v>0.85318144654490236</v>
      </c>
    </row>
    <row r="22" spans="1:5" x14ac:dyDescent="0.7">
      <c r="A22">
        <v>170</v>
      </c>
      <c r="B22" s="24">
        <v>0.27805695142378561</v>
      </c>
      <c r="C22" s="24">
        <v>0.84117910082071012</v>
      </c>
    </row>
    <row r="23" spans="1:5" x14ac:dyDescent="0.7">
      <c r="A23">
        <v>180</v>
      </c>
      <c r="B23" s="24">
        <v>0.29480737018425462</v>
      </c>
      <c r="C23" s="24">
        <v>0.82911678555249058</v>
      </c>
    </row>
    <row r="24" spans="1:5" x14ac:dyDescent="0.7">
      <c r="A24">
        <v>190</v>
      </c>
      <c r="B24" s="24">
        <v>0.31155778894472363</v>
      </c>
      <c r="C24" s="24">
        <v>0.81701483945046982</v>
      </c>
      <c r="E24" s="25" t="s">
        <v>127</v>
      </c>
    </row>
    <row r="25" spans="1:5" x14ac:dyDescent="0.7">
      <c r="A25">
        <v>200</v>
      </c>
      <c r="B25" s="24">
        <v>0.32830820770519265</v>
      </c>
      <c r="C25" s="24">
        <v>0.80489158548907103</v>
      </c>
      <c r="E25" s="25" t="s">
        <v>125</v>
      </c>
    </row>
    <row r="26" spans="1:5" x14ac:dyDescent="0.7">
      <c r="A26">
        <v>210</v>
      </c>
      <c r="B26" s="24">
        <v>0.34505862646566166</v>
      </c>
      <c r="C26" s="24">
        <v>0.79276356432245532</v>
      </c>
      <c r="E26" s="25" t="s">
        <v>126</v>
      </c>
    </row>
    <row r="27" spans="1:5" x14ac:dyDescent="0.7">
      <c r="A27">
        <v>220</v>
      </c>
      <c r="B27" s="24">
        <v>0.36180904522613067</v>
      </c>
      <c r="C27" s="24">
        <v>0.78064573145046667</v>
      </c>
      <c r="E27" s="25" t="s">
        <v>128</v>
      </c>
    </row>
    <row r="28" spans="1:5" x14ac:dyDescent="0.7">
      <c r="A28">
        <v>230</v>
      </c>
      <c r="B28" s="24">
        <v>0.37855946398659973</v>
      </c>
      <c r="C28" s="24">
        <v>0.7685516253418867</v>
      </c>
    </row>
    <row r="29" spans="1:5" x14ac:dyDescent="0.7">
      <c r="A29">
        <v>240</v>
      </c>
      <c r="B29" s="24">
        <v>0.39530988274706869</v>
      </c>
      <c r="C29" s="24">
        <v>0.75649351200598358</v>
      </c>
    </row>
    <row r="30" spans="1:5" x14ac:dyDescent="0.7">
      <c r="A30">
        <v>250</v>
      </c>
      <c r="B30" s="24">
        <v>0.41206030150753775</v>
      </c>
      <c r="C30" s="24">
        <v>0.74448251025536527</v>
      </c>
    </row>
    <row r="31" spans="1:5" x14ac:dyDescent="0.7">
      <c r="A31">
        <v>260</v>
      </c>
      <c r="B31" s="24">
        <v>0.42881072026800671</v>
      </c>
      <c r="C31" s="24">
        <v>0.73252870098100842</v>
      </c>
    </row>
    <row r="32" spans="1:5" x14ac:dyDescent="0.7">
      <c r="A32">
        <v>270</v>
      </c>
      <c r="B32" s="24">
        <v>0.44556113902847577</v>
      </c>
      <c r="C32" s="24">
        <v>0.72064122306901268</v>
      </c>
    </row>
    <row r="33" spans="1:3" x14ac:dyDescent="0.7">
      <c r="A33">
        <v>280</v>
      </c>
      <c r="B33" s="24">
        <v>0.46231155778894478</v>
      </c>
      <c r="C33" s="24">
        <v>0.70882835806353106</v>
      </c>
    </row>
    <row r="34" spans="1:3" x14ac:dyDescent="0.7">
      <c r="A34">
        <v>290</v>
      </c>
      <c r="B34" s="24">
        <v>0.47906197654941374</v>
      </c>
      <c r="C34" s="24">
        <v>0.69709760527662346</v>
      </c>
    </row>
    <row r="35" spans="1:3" x14ac:dyDescent="0.7">
      <c r="A35">
        <v>300</v>
      </c>
      <c r="B35" s="24">
        <v>0.4958123953098828</v>
      </c>
      <c r="C35" s="24">
        <v>0.68545574873197623</v>
      </c>
    </row>
    <row r="36" spans="1:3" x14ac:dyDescent="0.7">
      <c r="A36">
        <v>310</v>
      </c>
      <c r="B36" s="24">
        <v>0.51256281407035176</v>
      </c>
      <c r="C36" s="24">
        <v>0.67390891708296952</v>
      </c>
    </row>
    <row r="37" spans="1:3" x14ac:dyDescent="0.7">
      <c r="A37">
        <v>320</v>
      </c>
      <c r="B37" s="24">
        <v>0.52931323283082077</v>
      </c>
      <c r="C37" s="24">
        <v>0.66246263745020784</v>
      </c>
    </row>
    <row r="38" spans="1:3" x14ac:dyDescent="0.7">
      <c r="A38">
        <v>330</v>
      </c>
      <c r="B38" s="24">
        <v>0.54606365159128989</v>
      </c>
      <c r="C38" s="24">
        <v>0.6511218839673687</v>
      </c>
    </row>
    <row r="39" spans="1:3" x14ac:dyDescent="0.7">
      <c r="A39">
        <v>340</v>
      </c>
      <c r="B39" s="24">
        <v>0.5628140703517589</v>
      </c>
      <c r="C39" s="24">
        <v>0.63989112169821505</v>
      </c>
    </row>
    <row r="40" spans="1:3" x14ac:dyDescent="0.7">
      <c r="A40">
        <v>350</v>
      </c>
      <c r="B40" s="24">
        <v>0.57956448911222791</v>
      </c>
      <c r="C40" s="24">
        <v>0.62877434648524888</v>
      </c>
    </row>
    <row r="41" spans="1:3" x14ac:dyDescent="0.7">
      <c r="A41">
        <v>360</v>
      </c>
      <c r="B41" s="24">
        <v>0.59631490787269681</v>
      </c>
      <c r="C41" s="24">
        <v>0.61777512120671196</v>
      </c>
    </row>
    <row r="42" spans="1:3" x14ac:dyDescent="0.7">
      <c r="A42">
        <v>370</v>
      </c>
      <c r="B42" s="24">
        <v>0.61306532663316582</v>
      </c>
      <c r="C42" s="24">
        <v>0.60689660884959662</v>
      </c>
    </row>
    <row r="43" spans="1:3" x14ac:dyDescent="0.7">
      <c r="A43">
        <v>380</v>
      </c>
      <c r="B43" s="24">
        <v>0.62981574539363483</v>
      </c>
      <c r="C43" s="24">
        <v>0.59614160274913974</v>
      </c>
    </row>
    <row r="44" spans="1:3" x14ac:dyDescent="0.7">
      <c r="A44">
        <v>390</v>
      </c>
      <c r="B44" s="24">
        <v>0.64656616415410395</v>
      </c>
      <c r="C44" s="24">
        <v>0.5855125542975198</v>
      </c>
    </row>
    <row r="45" spans="1:3" x14ac:dyDescent="0.7">
      <c r="A45">
        <v>400</v>
      </c>
      <c r="B45" s="24">
        <v>0.66331658291457285</v>
      </c>
      <c r="C45" s="24">
        <v>0.57501159838448612</v>
      </c>
    </row>
    <row r="46" spans="1:3" x14ac:dyDescent="0.7">
      <c r="A46">
        <v>410</v>
      </c>
      <c r="B46" s="24">
        <v>0.68006700167504186</v>
      </c>
      <c r="C46" s="24">
        <v>0.56464057679888502</v>
      </c>
    </row>
    <row r="47" spans="1:3" x14ac:dyDescent="0.7">
      <c r="A47">
        <v>420</v>
      </c>
      <c r="B47" s="24">
        <v>0.69681742043551087</v>
      </c>
      <c r="C47" s="24">
        <v>0.55440105979147092</v>
      </c>
    </row>
    <row r="48" spans="1:3" x14ac:dyDescent="0.7">
      <c r="A48">
        <v>430</v>
      </c>
      <c r="B48" s="24">
        <v>0.71356783919597999</v>
      </c>
      <c r="C48" s="24">
        <v>0.54429436597504355</v>
      </c>
    </row>
    <row r="49" spans="1:3" x14ac:dyDescent="0.7">
      <c r="A49">
        <v>440</v>
      </c>
      <c r="B49" s="24">
        <v>0.730318257956449</v>
      </c>
      <c r="C49" s="24">
        <v>0.5343215807171402</v>
      </c>
    </row>
    <row r="50" spans="1:3" x14ac:dyDescent="0.7">
      <c r="A50">
        <v>450</v>
      </c>
      <c r="B50" s="24">
        <v>0.74706867671691801</v>
      </c>
      <c r="C50" s="24">
        <v>0.52448357316263383</v>
      </c>
    </row>
    <row r="51" spans="1:3" x14ac:dyDescent="0.7">
      <c r="A51">
        <v>460</v>
      </c>
      <c r="B51" s="24">
        <v>0.76381909547738691</v>
      </c>
      <c r="C51" s="24">
        <v>0.51478101200816884</v>
      </c>
    </row>
    <row r="52" spans="1:3" x14ac:dyDescent="0.7">
      <c r="A52">
        <v>470</v>
      </c>
      <c r="B52" s="24">
        <v>0.78056951423785592</v>
      </c>
      <c r="C52" s="24">
        <v>0.50521438013701725</v>
      </c>
    </row>
    <row r="53" spans="1:3" x14ac:dyDescent="0.7">
      <c r="A53">
        <v>480</v>
      </c>
      <c r="B53" s="24">
        <v>0.79731993299832504</v>
      </c>
      <c r="C53" s="24">
        <v>0.4957839882113495</v>
      </c>
    </row>
    <row r="54" spans="1:3" x14ac:dyDescent="0.7">
      <c r="A54">
        <v>490</v>
      </c>
      <c r="B54" s="24">
        <v>0.81407035175879405</v>
      </c>
      <c r="C54" s="24">
        <v>0.4864899873087829</v>
      </c>
    </row>
    <row r="55" spans="1:3" x14ac:dyDescent="0.7">
      <c r="A55">
        <v>500</v>
      </c>
      <c r="B55" s="24">
        <v>0.83082077051926306</v>
      </c>
      <c r="C55" s="24">
        <v>0.47733238068124773</v>
      </c>
    </row>
    <row r="56" spans="1:3" x14ac:dyDescent="0.7">
      <c r="A56">
        <v>510</v>
      </c>
      <c r="B56" s="24">
        <v>0.84757118927973207</v>
      </c>
      <c r="C56" s="24">
        <v>0.46831103470641411</v>
      </c>
    </row>
    <row r="57" spans="1:3" x14ac:dyDescent="0.7">
      <c r="A57">
        <v>520</v>
      </c>
      <c r="B57" s="24">
        <v>0.86432160804020108</v>
      </c>
      <c r="C57" s="24">
        <v>0.45942568909510773</v>
      </c>
    </row>
    <row r="58" spans="1:3" x14ac:dyDescent="0.7">
      <c r="A58">
        <v>530</v>
      </c>
      <c r="B58" s="24">
        <v>0.88107202680067009</v>
      </c>
      <c r="C58" s="24">
        <v>0.45067596641208407</v>
      </c>
    </row>
    <row r="59" spans="1:3" x14ac:dyDescent="0.7">
      <c r="A59">
        <v>540</v>
      </c>
      <c r="B59" s="24">
        <v>0.8978224455611391</v>
      </c>
      <c r="C59" s="24">
        <v>0.44206138096220271</v>
      </c>
    </row>
    <row r="60" spans="1:3" x14ac:dyDescent="0.7">
      <c r="A60">
        <v>550</v>
      </c>
      <c r="B60" s="24">
        <v>0.91457286432160811</v>
      </c>
      <c r="C60" s="24">
        <v>0.43358134708926088</v>
      </c>
    </row>
    <row r="61" spans="1:3" x14ac:dyDescent="0.7">
      <c r="A61">
        <v>560</v>
      </c>
      <c r="B61" s="24">
        <v>0.93132328308207712</v>
      </c>
      <c r="C61" s="24">
        <v>0.42523518693055717</v>
      </c>
    </row>
    <row r="62" spans="1:3" x14ac:dyDescent="0.7">
      <c r="A62">
        <v>570</v>
      </c>
      <c r="B62" s="24">
        <v>0.94807370184254613</v>
      </c>
      <c r="C62" s="24">
        <v>0.41702213766643959</v>
      </c>
    </row>
    <row r="63" spans="1:3" x14ac:dyDescent="0.7">
      <c r="A63">
        <v>580</v>
      </c>
      <c r="B63" s="24">
        <v>0.96482412060301515</v>
      </c>
      <c r="C63" s="24">
        <v>0.40894135830074363</v>
      </c>
    </row>
    <row r="64" spans="1:3" x14ac:dyDescent="0.7">
      <c r="A64">
        <v>590</v>
      </c>
      <c r="B64" s="24">
        <v>0.98157453936348404</v>
      </c>
      <c r="C64" s="24">
        <v>0.40099193600497995</v>
      </c>
    </row>
    <row r="65" spans="1:3" x14ac:dyDescent="0.7">
      <c r="A65">
        <v>600</v>
      </c>
      <c r="B65" s="24">
        <v>0.99832495812395317</v>
      </c>
      <c r="C65" s="24">
        <v>0.39317289205642003</v>
      </c>
    </row>
    <row r="66" spans="1:3" x14ac:dyDescent="0.7">
      <c r="A66">
        <v>610</v>
      </c>
      <c r="B66" s="24">
        <v>1.0150753768844221</v>
      </c>
      <c r="C66" s="24">
        <v>0.38548318739775922</v>
      </c>
    </row>
    <row r="67" spans="1:3" x14ac:dyDescent="0.7">
      <c r="A67">
        <v>620</v>
      </c>
      <c r="B67" s="24">
        <v>1.0318257956448913</v>
      </c>
      <c r="C67" s="24">
        <v>0.37792172784383904</v>
      </c>
    </row>
    <row r="68" spans="1:3" x14ac:dyDescent="0.7">
      <c r="A68">
        <v>630</v>
      </c>
      <c r="B68" s="24">
        <v>1.0485762144053601</v>
      </c>
      <c r="C68" s="24">
        <v>0.37048736895889972</v>
      </c>
    </row>
    <row r="69" spans="1:3" x14ac:dyDescent="0.7">
      <c r="A69">
        <v>640</v>
      </c>
      <c r="B69" s="24">
        <v>1.0653266331658293</v>
      </c>
      <c r="C69" s="24">
        <v>0.36317892062601437</v>
      </c>
    </row>
    <row r="70" spans="1:3" x14ac:dyDescent="0.7">
      <c r="A70">
        <v>650</v>
      </c>
      <c r="B70" s="24">
        <v>1.0820770519262983</v>
      </c>
      <c r="C70" s="24">
        <v>0.35599515132872095</v>
      </c>
    </row>
    <row r="71" spans="1:3" x14ac:dyDescent="0.7">
      <c r="A71">
        <v>660</v>
      </c>
      <c r="B71" s="24">
        <v>1.0988274706867671</v>
      </c>
      <c r="C71" s="24">
        <v>0.34893479216335788</v>
      </c>
    </row>
    <row r="72" spans="1:3" x14ac:dyDescent="0.7">
      <c r="A72">
        <v>670</v>
      </c>
      <c r="B72" s="24">
        <v>1.1155778894472363</v>
      </c>
      <c r="C72" s="24">
        <v>0.3419965405992515</v>
      </c>
    </row>
    <row r="73" spans="1:3" x14ac:dyDescent="0.7">
      <c r="A73">
        <v>680</v>
      </c>
      <c r="B73" s="24">
        <v>1.1323283082077054</v>
      </c>
      <c r="C73" s="24">
        <v>0.33517906400265696</v>
      </c>
    </row>
    <row r="74" spans="1:3" x14ac:dyDescent="0.7">
      <c r="A74">
        <v>690</v>
      </c>
      <c r="B74" s="24">
        <v>1.1490787269681744</v>
      </c>
      <c r="C74" s="24">
        <v>0.32848100293920884</v>
      </c>
    </row>
    <row r="75" spans="1:3" x14ac:dyDescent="0.7">
      <c r="A75">
        <v>700</v>
      </c>
      <c r="B75" s="24">
        <v>1.1658291457286434</v>
      </c>
      <c r="C75" s="24">
        <v>0.32190097426860648</v>
      </c>
    </row>
    <row r="76" spans="1:3" x14ac:dyDescent="0.7">
      <c r="A76">
        <v>710</v>
      </c>
      <c r="B76" s="24">
        <v>1.1825795644891124</v>
      </c>
      <c r="C76" s="24">
        <v>0.3154375740442944</v>
      </c>
    </row>
    <row r="77" spans="1:3" x14ac:dyDescent="0.7">
      <c r="A77">
        <v>720</v>
      </c>
      <c r="B77" s="24">
        <v>1.1993299832495812</v>
      </c>
      <c r="C77" s="24">
        <v>0.3090893802300268</v>
      </c>
    </row>
    <row r="78" spans="1:3" x14ac:dyDescent="0.7">
      <c r="A78">
        <v>730</v>
      </c>
      <c r="B78" s="24">
        <v>1.2160804020100502</v>
      </c>
      <c r="C78" s="24">
        <v>0.30285495524439432</v>
      </c>
    </row>
    <row r="79" spans="1:3" x14ac:dyDescent="0.7">
      <c r="A79">
        <v>740</v>
      </c>
      <c r="B79" s="24">
        <v>1.2328308207705192</v>
      </c>
      <c r="C79" s="24">
        <v>0.29673284834365088</v>
      </c>
    </row>
    <row r="80" spans="1:3" x14ac:dyDescent="0.7">
      <c r="A80">
        <v>750</v>
      </c>
      <c r="B80" s="24">
        <v>1.2495812395309882</v>
      </c>
      <c r="C80" s="24">
        <v>0.29072159785249746</v>
      </c>
    </row>
    <row r="81" spans="1:3" x14ac:dyDescent="0.7">
      <c r="A81">
        <v>760</v>
      </c>
      <c r="B81" s="24">
        <v>1.2663316582914574</v>
      </c>
      <c r="C81" s="24">
        <v>0.28481973325184073</v>
      </c>
    </row>
    <row r="82" spans="1:3" x14ac:dyDescent="0.7">
      <c r="A82">
        <v>770</v>
      </c>
      <c r="B82" s="24">
        <v>1.2830820770519265</v>
      </c>
      <c r="C82" s="24">
        <v>0.27902577713196802</v>
      </c>
    </row>
    <row r="83" spans="1:3" x14ac:dyDescent="0.7">
      <c r="A83">
        <v>780</v>
      </c>
      <c r="B83" s="24">
        <v>1.2998324958123955</v>
      </c>
      <c r="C83" s="24">
        <v>0.27333824701903564</v>
      </c>
    </row>
    <row r="84" spans="1:3" x14ac:dyDescent="0.7">
      <c r="A84">
        <v>790</v>
      </c>
      <c r="B84" s="24">
        <v>1.3165829145728645</v>
      </c>
      <c r="C84" s="24">
        <v>0.26775565708227139</v>
      </c>
    </row>
    <row r="85" spans="1:3" x14ac:dyDescent="0.7">
      <c r="A85">
        <v>800</v>
      </c>
      <c r="B85" s="24">
        <v>1.3333333333333335</v>
      </c>
      <c r="C85" s="24">
        <v>0.26227651972882515</v>
      </c>
    </row>
    <row r="86" spans="1:3" x14ac:dyDescent="0.7">
      <c r="A86">
        <v>810</v>
      </c>
      <c r="B86" s="24">
        <v>1.3500837520938023</v>
      </c>
      <c r="C86" s="24">
        <v>0.25689934709277362</v>
      </c>
    </row>
    <row r="87" spans="1:3" x14ac:dyDescent="0.7">
      <c r="A87">
        <v>820</v>
      </c>
      <c r="B87" s="24">
        <v>1.3668341708542715</v>
      </c>
      <c r="C87" s="24">
        <v>0.25162265242438542</v>
      </c>
    </row>
    <row r="88" spans="1:3" x14ac:dyDescent="0.7">
      <c r="A88">
        <v>830</v>
      </c>
      <c r="B88" s="24">
        <v>1.3835845896147405</v>
      </c>
      <c r="C88" s="24">
        <v>0.24644495138538014</v>
      </c>
    </row>
    <row r="89" spans="1:3" x14ac:dyDescent="0.7">
      <c r="A89">
        <v>840</v>
      </c>
      <c r="B89" s="24">
        <v>1.4003350083752095</v>
      </c>
      <c r="C89" s="24">
        <v>0.24136476325557088</v>
      </c>
    </row>
    <row r="90" spans="1:3" x14ac:dyDescent="0.7">
      <c r="A90">
        <v>850</v>
      </c>
      <c r="B90" s="24">
        <v>1.4170854271356785</v>
      </c>
      <c r="C90" s="24">
        <v>0.23638061205595456</v>
      </c>
    </row>
    <row r="91" spans="1:3" x14ac:dyDescent="0.7">
      <c r="A91">
        <v>860</v>
      </c>
      <c r="B91" s="24">
        <v>1.4338358458961473</v>
      </c>
      <c r="C91" s="24">
        <v>0.23149102759301898</v>
      </c>
    </row>
    <row r="92" spans="1:3" x14ac:dyDescent="0.7">
      <c r="A92">
        <v>870</v>
      </c>
      <c r="B92" s="24">
        <v>1.4505862646566166</v>
      </c>
      <c r="C92" s="24">
        <v>0.22669454642875037</v>
      </c>
    </row>
    <row r="93" spans="1:3" x14ac:dyDescent="0.7">
      <c r="A93">
        <v>880</v>
      </c>
      <c r="B93" s="24">
        <v>1.4673366834170856</v>
      </c>
      <c r="C93" s="24">
        <v>0.22198971278056459</v>
      </c>
    </row>
    <row r="94" spans="1:3" x14ac:dyDescent="0.7">
      <c r="A94">
        <v>890</v>
      </c>
      <c r="B94" s="24">
        <v>1.4840871021775546</v>
      </c>
      <c r="C94" s="24">
        <v>0.21737507935514239</v>
      </c>
    </row>
    <row r="95" spans="1:3" x14ac:dyDescent="0.7">
      <c r="A95">
        <v>900</v>
      </c>
      <c r="B95" s="24">
        <v>1.5008375209380234</v>
      </c>
      <c r="C95" s="24">
        <v>0.21284920811992031</v>
      </c>
    </row>
    <row r="96" spans="1:3" x14ac:dyDescent="0.7">
      <c r="A96">
        <v>910</v>
      </c>
      <c r="B96" s="24">
        <v>1.5175879396984926</v>
      </c>
      <c r="C96" s="24">
        <v>0.20841067101576805</v>
      </c>
    </row>
    <row r="97" spans="1:3" x14ac:dyDescent="0.7">
      <c r="A97">
        <v>920</v>
      </c>
      <c r="B97" s="24">
        <v>1.5343383584589616</v>
      </c>
      <c r="C97" s="24">
        <v>0.20405805061419385</v>
      </c>
    </row>
    <row r="98" spans="1:3" x14ac:dyDescent="0.7">
      <c r="A98">
        <v>930</v>
      </c>
      <c r="B98" s="24">
        <v>1.5510887772194304</v>
      </c>
      <c r="C98" s="24">
        <v>0.19978994072222087</v>
      </c>
    </row>
    <row r="99" spans="1:3" x14ac:dyDescent="0.7">
      <c r="A99">
        <v>940</v>
      </c>
      <c r="B99" s="24">
        <v>1.5678391959798996</v>
      </c>
      <c r="C99" s="24">
        <v>0.19560494693790551</v>
      </c>
    </row>
    <row r="100" spans="1:3" x14ac:dyDescent="0.7">
      <c r="A100">
        <v>950</v>
      </c>
      <c r="B100" s="24">
        <v>1.5845896147403686</v>
      </c>
      <c r="C100" s="24">
        <v>0.19150168715930446</v>
      </c>
    </row>
    <row r="101" spans="1:3" x14ac:dyDescent="0.7">
      <c r="A101">
        <v>960</v>
      </c>
      <c r="B101" s="24">
        <v>1.6013400335008376</v>
      </c>
      <c r="C101" s="24">
        <v>0.18747879204953746</v>
      </c>
    </row>
    <row r="102" spans="1:3" x14ac:dyDescent="0.7">
      <c r="A102">
        <v>970</v>
      </c>
      <c r="B102" s="24">
        <v>1.6180904522613067</v>
      </c>
      <c r="C102" s="24">
        <v>0.18353490546045126</v>
      </c>
    </row>
    <row r="103" spans="1:3" x14ac:dyDescent="0.7">
      <c r="A103">
        <v>980</v>
      </c>
      <c r="B103" s="24">
        <v>1.6348408710217754</v>
      </c>
      <c r="C103" s="24">
        <v>0.17966868481724782</v>
      </c>
    </row>
    <row r="104" spans="1:3" x14ac:dyDescent="0.7">
      <c r="A104">
        <v>990</v>
      </c>
      <c r="B104" s="24">
        <v>1.6515912897822447</v>
      </c>
      <c r="C104" s="24">
        <v>0.17587880146631499</v>
      </c>
    </row>
    <row r="105" spans="1:3" x14ac:dyDescent="0.7">
      <c r="A105">
        <v>1000</v>
      </c>
      <c r="B105" s="24">
        <v>1.6683417085427137</v>
      </c>
      <c r="C105" s="24">
        <v>0.17216394098837512</v>
      </c>
    </row>
    <row r="106" spans="1:3" x14ac:dyDescent="0.7">
      <c r="A106">
        <v>1010</v>
      </c>
      <c r="B106" s="24">
        <v>1.6850921273031829</v>
      </c>
      <c r="C106" s="24">
        <v>0.16852280347894785</v>
      </c>
    </row>
    <row r="107" spans="1:3" x14ac:dyDescent="0.7">
      <c r="A107">
        <v>1020</v>
      </c>
      <c r="B107" s="24">
        <v>1.7018425460636517</v>
      </c>
      <c r="C107" s="24">
        <v>0.16495410379802339</v>
      </c>
    </row>
    <row r="108" spans="1:3" x14ac:dyDescent="0.7">
      <c r="A108">
        <v>1030</v>
      </c>
      <c r="B108" s="24">
        <v>1.7185929648241207</v>
      </c>
      <c r="C108" s="24">
        <v>0.16145657179073264</v>
      </c>
    </row>
    <row r="109" spans="1:3" x14ac:dyDescent="0.7">
      <c r="A109">
        <v>1040</v>
      </c>
      <c r="B109" s="24">
        <v>1.7353433835845897</v>
      </c>
      <c r="C109" s="24">
        <v>0.15802895248071272</v>
      </c>
    </row>
    <row r="110" spans="1:3" x14ac:dyDescent="0.7">
      <c r="A110">
        <v>1050</v>
      </c>
      <c r="B110" s="24">
        <v>1.7520938023450587</v>
      </c>
      <c r="C110" s="24">
        <v>0.15467000623776597</v>
      </c>
    </row>
    <row r="111" spans="1:3" x14ac:dyDescent="0.7">
      <c r="A111">
        <v>1060</v>
      </c>
      <c r="B111" s="24">
        <v>1.7688442211055277</v>
      </c>
      <c r="C111" s="24">
        <v>0.15137850892133509</v>
      </c>
    </row>
    <row r="112" spans="1:3" x14ac:dyDescent="0.7">
      <c r="A112">
        <v>1070</v>
      </c>
      <c r="B112" s="24">
        <v>1.785594639865997</v>
      </c>
      <c r="C112" s="24">
        <v>0.14815325200122931</v>
      </c>
    </row>
    <row r="113" spans="1:3" x14ac:dyDescent="0.7">
      <c r="A113">
        <v>1080</v>
      </c>
      <c r="B113" s="24">
        <v>1.8023450586264658</v>
      </c>
      <c r="C113" s="24">
        <v>0.14499304265696333</v>
      </c>
    </row>
    <row r="114" spans="1:3" x14ac:dyDescent="0.7">
      <c r="A114">
        <v>1090</v>
      </c>
      <c r="B114" s="24">
        <v>1.8190954773869348</v>
      </c>
      <c r="C114" s="24">
        <v>0.14189670385699665</v>
      </c>
    </row>
    <row r="115" spans="1:3" x14ac:dyDescent="0.7">
      <c r="A115">
        <v>1100</v>
      </c>
      <c r="B115" s="24">
        <v>1.8358458961474038</v>
      </c>
      <c r="C115" s="24">
        <v>0.13886307441909723</v>
      </c>
    </row>
    <row r="116" spans="1:3" x14ac:dyDescent="0.7">
      <c r="A116">
        <v>1110</v>
      </c>
      <c r="B116" s="24">
        <v>1.8525963149078728</v>
      </c>
      <c r="C116" s="24">
        <v>0.13589100905298135</v>
      </c>
    </row>
    <row r="117" spans="1:3" x14ac:dyDescent="0.7">
      <c r="A117">
        <v>1120</v>
      </c>
      <c r="B117" s="24">
        <v>1.8693467336683418</v>
      </c>
      <c r="C117" s="24">
        <v>0.13297937838632873</v>
      </c>
    </row>
    <row r="118" spans="1:3" x14ac:dyDescent="0.7">
      <c r="A118">
        <v>1130</v>
      </c>
      <c r="B118" s="24">
        <v>1.886097152428811</v>
      </c>
      <c r="C118" s="24">
        <v>0.1301270689752087</v>
      </c>
    </row>
    <row r="119" spans="1:3" x14ac:dyDescent="0.7">
      <c r="A119">
        <v>1140</v>
      </c>
      <c r="B119" s="24">
        <v>1.9028475711892798</v>
      </c>
      <c r="C119" s="24">
        <v>0.12733298329990053</v>
      </c>
    </row>
    <row r="120" spans="1:3" x14ac:dyDescent="0.7">
      <c r="A120">
        <v>1150</v>
      </c>
      <c r="B120" s="24">
        <v>1.9195979899497488</v>
      </c>
      <c r="C120" s="24">
        <v>0.12459603974704025</v>
      </c>
    </row>
    <row r="121" spans="1:3" x14ac:dyDescent="0.7">
      <c r="A121">
        <v>1160</v>
      </c>
      <c r="B121" s="24">
        <v>1.9363484087102178</v>
      </c>
      <c r="C121" s="24">
        <v>0.1219151725789754</v>
      </c>
    </row>
    <row r="122" spans="1:3" x14ac:dyDescent="0.7">
      <c r="A122">
        <v>1170</v>
      </c>
      <c r="B122" s="24">
        <v>1.9530988274706869</v>
      </c>
      <c r="C122" s="24">
        <v>0.11928933189116321</v>
      </c>
    </row>
    <row r="123" spans="1:3" x14ac:dyDescent="0.7">
      <c r="A123">
        <v>1180</v>
      </c>
      <c r="B123" s="24">
        <v>1.9698492462311559</v>
      </c>
      <c r="C123" s="24">
        <v>0.11671748355840676</v>
      </c>
    </row>
    <row r="124" spans="1:3" x14ac:dyDescent="0.7">
      <c r="A124">
        <v>1190</v>
      </c>
      <c r="B124" s="24">
        <v>1.9865996649916251</v>
      </c>
      <c r="C124" s="24">
        <v>0.1141986091706757</v>
      </c>
    </row>
    <row r="125" spans="1:3" x14ac:dyDescent="0.7">
      <c r="A125">
        <v>1200</v>
      </c>
      <c r="B125" s="24">
        <v>2.0033500837520939</v>
      </c>
      <c r="C125" s="24">
        <v>0.11173170595922538</v>
      </c>
    </row>
    <row r="126" spans="1:3" x14ac:dyDescent="0.7">
      <c r="A126">
        <v>1210</v>
      </c>
      <c r="B126" s="24">
        <v>2.0201005025125629</v>
      </c>
      <c r="C126" s="24">
        <v>0.10931578671368687</v>
      </c>
    </row>
    <row r="127" spans="1:3" x14ac:dyDescent="0.7">
      <c r="A127">
        <v>1220</v>
      </c>
      <c r="B127" s="24">
        <v>2.0368509212730319</v>
      </c>
      <c r="C127" s="24">
        <v>0.10694987969076497</v>
      </c>
    </row>
    <row r="128" spans="1:3" x14ac:dyDescent="0.7">
      <c r="A128">
        <v>1230</v>
      </c>
      <c r="B128" s="24">
        <v>2.0536013400335009</v>
      </c>
      <c r="C128" s="24">
        <v>0.10463302851514894</v>
      </c>
    </row>
    <row r="129" spans="1:3" x14ac:dyDescent="0.7">
      <c r="A129">
        <v>1240</v>
      </c>
      <c r="B129" s="24">
        <v>2.0703517587939699</v>
      </c>
      <c r="C129" s="24">
        <v>0.10236429207320927</v>
      </c>
    </row>
    <row r="130" spans="1:3" x14ac:dyDescent="0.7">
      <c r="A130">
        <v>1250</v>
      </c>
      <c r="B130" s="24">
        <v>2.0871021775544389</v>
      </c>
      <c r="C130" s="24">
        <v>0.10014274440001904</v>
      </c>
    </row>
    <row r="131" spans="1:3" x14ac:dyDescent="0.7">
      <c r="A131">
        <v>1260</v>
      </c>
      <c r="B131" s="24">
        <v>2.103852596314908</v>
      </c>
      <c r="C131" s="24">
        <v>9.7967474560217704E-2</v>
      </c>
    </row>
    <row r="132" spans="1:3" x14ac:dyDescent="0.7">
      <c r="A132">
        <v>1270</v>
      </c>
      <c r="B132" s="24">
        <v>2.120603015075377</v>
      </c>
      <c r="C132" s="24">
        <v>9.5837586523197307E-2</v>
      </c>
    </row>
    <row r="133" spans="1:3" x14ac:dyDescent="0.7">
      <c r="A133">
        <v>1280</v>
      </c>
      <c r="B133" s="24">
        <v>2.137353433835846</v>
      </c>
      <c r="C133" s="24">
        <v>9.3752199033076189E-2</v>
      </c>
    </row>
    <row r="134" spans="1:3" x14ac:dyDescent="0.7">
      <c r="A134">
        <v>1290</v>
      </c>
      <c r="B134" s="24">
        <v>2.154103852596315</v>
      </c>
      <c r="C134" s="24">
        <v>9.1710445473891344E-2</v>
      </c>
    </row>
    <row r="135" spans="1:3" x14ac:dyDescent="0.7">
      <c r="A135">
        <v>1300</v>
      </c>
      <c r="B135" s="24">
        <v>2.1708542713567844</v>
      </c>
      <c r="C135" s="24">
        <v>8.9711473730423097E-2</v>
      </c>
    </row>
    <row r="136" spans="1:3" x14ac:dyDescent="0.7">
      <c r="A136">
        <v>1310</v>
      </c>
      <c r="B136" s="24">
        <v>2.187604690117253</v>
      </c>
      <c r="C136" s="24">
        <v>8.7754446045040874E-2</v>
      </c>
    </row>
    <row r="137" spans="1:3" x14ac:dyDescent="0.7">
      <c r="A137">
        <v>1320</v>
      </c>
      <c r="B137" s="24">
        <v>2.204355108877722</v>
      </c>
      <c r="C137" s="24">
        <v>8.5838538870937856E-2</v>
      </c>
    </row>
    <row r="138" spans="1:3" x14ac:dyDescent="0.7">
      <c r="A138">
        <v>1330</v>
      </c>
      <c r="B138" s="24">
        <v>2.221105527638191</v>
      </c>
      <c r="C138" s="24">
        <v>8.3962942722103751E-2</v>
      </c>
    </row>
    <row r="139" spans="1:3" x14ac:dyDescent="0.7">
      <c r="A139">
        <v>1340</v>
      </c>
      <c r="B139" s="24">
        <v>2.23785594639866</v>
      </c>
      <c r="C139" s="24">
        <v>8.2126862020364275E-2</v>
      </c>
    </row>
    <row r="140" spans="1:3" x14ac:dyDescent="0.7">
      <c r="A140">
        <v>1350</v>
      </c>
      <c r="B140" s="24">
        <v>2.254606365159129</v>
      </c>
      <c r="C140" s="24">
        <v>8.0329514939797925E-2</v>
      </c>
    </row>
    <row r="141" spans="1:3" x14ac:dyDescent="0.7">
      <c r="A141">
        <v>1360</v>
      </c>
      <c r="B141" s="24">
        <v>2.2713567839195981</v>
      </c>
      <c r="C141" s="24">
        <v>7.857013324882467E-2</v>
      </c>
    </row>
    <row r="142" spans="1:3" x14ac:dyDescent="0.7">
      <c r="A142">
        <v>1370</v>
      </c>
      <c r="B142" s="24">
        <v>2.2881072026800671</v>
      </c>
      <c r="C142" s="24">
        <v>7.6847962150243004E-2</v>
      </c>
    </row>
    <row r="143" spans="1:3" x14ac:dyDescent="0.7">
      <c r="A143">
        <v>1380</v>
      </c>
      <c r="B143" s="24">
        <v>2.3048576214405361</v>
      </c>
      <c r="C143" s="24">
        <v>7.5162260119478991E-2</v>
      </c>
    </row>
    <row r="144" spans="1:3" x14ac:dyDescent="0.7">
      <c r="A144">
        <v>1390</v>
      </c>
      <c r="B144" s="24">
        <v>2.3216080402010055</v>
      </c>
      <c r="C144" s="24">
        <v>7.3512298741291782E-2</v>
      </c>
    </row>
    <row r="145" spans="1:3" x14ac:dyDescent="0.7">
      <c r="A145">
        <v>1400</v>
      </c>
      <c r="B145" s="24">
        <v>2.3383584589614741</v>
      </c>
      <c r="C145" s="24">
        <v>7.1897362545172011E-2</v>
      </c>
    </row>
    <row r="146" spans="1:3" x14ac:dyDescent="0.7">
      <c r="A146">
        <v>1410</v>
      </c>
      <c r="B146" s="24">
        <v>2.3551088777219431</v>
      </c>
      <c r="C146" s="24">
        <v>7.0316748839648807E-2</v>
      </c>
    </row>
    <row r="147" spans="1:3" x14ac:dyDescent="0.7">
      <c r="A147">
        <v>1420</v>
      </c>
      <c r="B147" s="24">
        <v>2.3718592964824121</v>
      </c>
      <c r="C147" s="24">
        <v>6.876976754571705E-2</v>
      </c>
    </row>
    <row r="148" spans="1:3" x14ac:dyDescent="0.7">
      <c r="A148">
        <v>1430</v>
      </c>
      <c r="B148" s="24">
        <v>2.3886097152428816</v>
      </c>
      <c r="C148" s="24">
        <v>6.7255741029575405E-2</v>
      </c>
    </row>
    <row r="149" spans="1:3" x14ac:dyDescent="0.7">
      <c r="A149">
        <v>1440</v>
      </c>
      <c r="B149" s="24">
        <v>2.4053601340033501</v>
      </c>
      <c r="C149" s="24">
        <v>6.577400393486256E-2</v>
      </c>
    </row>
    <row r="150" spans="1:3" x14ac:dyDescent="0.7">
      <c r="A150">
        <v>1450</v>
      </c>
      <c r="B150" s="24">
        <v>2.4221105527638196</v>
      </c>
      <c r="C150" s="24">
        <v>6.4323903014560993E-2</v>
      </c>
    </row>
    <row r="151" spans="1:3" x14ac:dyDescent="0.7">
      <c r="A151">
        <v>1460</v>
      </c>
      <c r="B151" s="24">
        <v>2.4388609715242882</v>
      </c>
      <c r="C151" s="24">
        <v>6.2904796962733489E-2</v>
      </c>
    </row>
    <row r="152" spans="1:3" x14ac:dyDescent="0.7">
      <c r="A152">
        <v>1470</v>
      </c>
      <c r="B152" s="24">
        <v>2.4556113902847572</v>
      </c>
      <c r="C152" s="24">
        <v>6.151605624624254E-2</v>
      </c>
    </row>
    <row r="153" spans="1:3" x14ac:dyDescent="0.7">
      <c r="A153">
        <v>1480</v>
      </c>
      <c r="B153" s="24">
        <v>2.4723618090452262</v>
      </c>
      <c r="C153" s="24">
        <v>6.0157062936597547E-2</v>
      </c>
    </row>
    <row r="154" spans="1:3" x14ac:dyDescent="0.7">
      <c r="A154">
        <v>1490</v>
      </c>
      <c r="B154" s="24">
        <v>2.4891122278056952</v>
      </c>
      <c r="C154" s="24">
        <v>5.8827210542062622E-2</v>
      </c>
    </row>
    <row r="155" spans="1:3" x14ac:dyDescent="0.7">
      <c r="A155">
        <v>1500</v>
      </c>
      <c r="B155" s="24">
        <v>2.5058626465661646</v>
      </c>
      <c r="C155" s="24">
        <v>5.752590384015225E-2</v>
      </c>
    </row>
    <row r="156" spans="1:3" x14ac:dyDescent="0.7">
      <c r="A156">
        <v>1510</v>
      </c>
      <c r="B156" s="24">
        <v>2.5226130653266332</v>
      </c>
      <c r="C156" s="24">
        <v>5.6252558710631062E-2</v>
      </c>
    </row>
    <row r="157" spans="1:3" x14ac:dyDescent="0.7">
      <c r="A157">
        <v>1520</v>
      </c>
      <c r="B157" s="24">
        <v>2.5393634840871022</v>
      </c>
      <c r="C157" s="24">
        <v>5.5006601969129529E-2</v>
      </c>
    </row>
    <row r="158" spans="1:3" x14ac:dyDescent="0.7">
      <c r="A158">
        <v>1530</v>
      </c>
      <c r="B158" s="24">
        <v>2.5561139028475712</v>
      </c>
      <c r="C158" s="24">
        <v>5.3787471201476866E-2</v>
      </c>
    </row>
    <row r="159" spans="1:3" x14ac:dyDescent="0.7">
      <c r="A159">
        <v>1540</v>
      </c>
      <c r="B159" s="24">
        <v>2.5728643216080402</v>
      </c>
      <c r="C159" s="24">
        <v>5.2594614598849038E-2</v>
      </c>
    </row>
    <row r="160" spans="1:3" x14ac:dyDescent="0.7">
      <c r="A160">
        <v>1550</v>
      </c>
      <c r="B160" s="24">
        <v>2.5896147403685097</v>
      </c>
      <c r="C160" s="24">
        <v>5.1427490793819461E-2</v>
      </c>
    </row>
    <row r="161" spans="1:3" x14ac:dyDescent="0.7">
      <c r="A161">
        <v>1560</v>
      </c>
      <c r="B161" s="24">
        <v>2.6063651591289783</v>
      </c>
      <c r="C161" s="24">
        <v>5.0285568697397733E-2</v>
      </c>
    </row>
    <row r="162" spans="1:3" x14ac:dyDescent="0.7">
      <c r="A162">
        <v>1570</v>
      </c>
      <c r="B162" s="24">
        <v>2.6231155778894477</v>
      </c>
      <c r="C162" s="24">
        <v>4.9168327337131876E-2</v>
      </c>
    </row>
    <row r="163" spans="1:3" x14ac:dyDescent="0.7">
      <c r="A163">
        <v>1580</v>
      </c>
      <c r="B163" s="24">
        <v>2.6398659966499167</v>
      </c>
      <c r="C163" s="24">
        <v>4.807525569634806E-2</v>
      </c>
    </row>
    <row r="164" spans="1:3" x14ac:dyDescent="0.7">
      <c r="A164">
        <v>1590</v>
      </c>
      <c r="B164" s="24">
        <v>2.6566164154103857</v>
      </c>
      <c r="C164" s="24">
        <v>4.7005852554592456E-2</v>
      </c>
    </row>
    <row r="165" spans="1:3" x14ac:dyDescent="0.7">
      <c r="A165">
        <v>1600</v>
      </c>
      <c r="B165" s="24">
        <v>2.6733668341708547</v>
      </c>
      <c r="C165" s="24">
        <v>4.5959626329338157E-2</v>
      </c>
    </row>
    <row r="166" spans="1:3" x14ac:dyDescent="0.7">
      <c r="A166">
        <v>1610</v>
      </c>
      <c r="B166" s="24">
        <v>2.6901172529313233</v>
      </c>
      <c r="C166" s="24">
        <v>4.4936094919013382E-2</v>
      </c>
    </row>
    <row r="167" spans="1:3" x14ac:dyDescent="0.7">
      <c r="A167">
        <v>1620</v>
      </c>
      <c r="B167" s="24">
        <v>2.7068676716917923</v>
      </c>
      <c r="C167" s="24">
        <v>4.393478554740287E-2</v>
      </c>
    </row>
    <row r="168" spans="1:3" x14ac:dyDescent="0.7">
      <c r="A168">
        <v>1630</v>
      </c>
      <c r="B168" s="24">
        <v>2.7236180904522613</v>
      </c>
      <c r="C168" s="24">
        <v>4.2955234609471753E-2</v>
      </c>
    </row>
    <row r="169" spans="1:3" x14ac:dyDescent="0.7">
      <c r="A169">
        <v>1640</v>
      </c>
      <c r="B169" s="24">
        <v>2.7403685092127303</v>
      </c>
      <c r="C169" s="24">
        <v>4.1996987518653717E-2</v>
      </c>
    </row>
    <row r="170" spans="1:3" x14ac:dyDescent="0.7">
      <c r="A170">
        <v>1650</v>
      </c>
      <c r="B170" s="24">
        <v>2.7571189279731998</v>
      </c>
      <c r="C170" s="24">
        <v>4.105959855564556E-2</v>
      </c>
    </row>
    <row r="171" spans="1:3" x14ac:dyDescent="0.7">
      <c r="A171">
        <v>1660</v>
      </c>
      <c r="B171" s="24">
        <v>2.7738693467336684</v>
      </c>
      <c r="C171" s="24">
        <v>4.0142630718743452E-2</v>
      </c>
    </row>
    <row r="172" spans="1:3" x14ac:dyDescent="0.7">
      <c r="A172">
        <v>1670</v>
      </c>
      <c r="B172" s="24">
        <v>2.7906197654941374</v>
      </c>
      <c r="C172" s="24">
        <v>3.9245655575753317E-2</v>
      </c>
    </row>
    <row r="173" spans="1:3" x14ac:dyDescent="0.7">
      <c r="A173">
        <v>1680</v>
      </c>
      <c r="B173" s="24">
        <v>2.8073701842546064</v>
      </c>
      <c r="C173" s="24">
        <v>3.8368253117506565E-2</v>
      </c>
    </row>
    <row r="174" spans="1:3" x14ac:dyDescent="0.7">
      <c r="A174">
        <v>1690</v>
      </c>
      <c r="B174" s="24">
        <v>2.8241206030150754</v>
      </c>
      <c r="C174" s="24">
        <v>3.7510011613006169E-2</v>
      </c>
    </row>
    <row r="175" spans="1:3" x14ac:dyDescent="0.7">
      <c r="A175">
        <v>1700</v>
      </c>
      <c r="B175" s="24">
        <v>2.8408710217755448</v>
      </c>
      <c r="C175" s="24">
        <v>3.667052746622728E-2</v>
      </c>
    </row>
    <row r="176" spans="1:3" x14ac:dyDescent="0.7">
      <c r="A176">
        <v>1710</v>
      </c>
      <c r="B176" s="24">
        <v>2.8576214405360134</v>
      </c>
      <c r="C176" s="24">
        <v>3.5849405074593381E-2</v>
      </c>
    </row>
    <row r="177" spans="1:3" x14ac:dyDescent="0.7">
      <c r="A177">
        <v>1720</v>
      </c>
      <c r="B177" s="24">
        <v>2.8743718592964829</v>
      </c>
      <c r="C177" s="24">
        <v>3.5046256689145724E-2</v>
      </c>
    </row>
    <row r="178" spans="1:3" x14ac:dyDescent="0.7">
      <c r="A178">
        <v>1730</v>
      </c>
      <c r="B178" s="24">
        <v>2.8911222780569519</v>
      </c>
      <c r="C178" s="24">
        <v>3.4260702276422014E-2</v>
      </c>
    </row>
    <row r="179" spans="1:3" x14ac:dyDescent="0.7">
      <c r="A179">
        <v>1740</v>
      </c>
      <c r="B179" s="24">
        <v>2.9078726968174209</v>
      </c>
      <c r="C179" s="24">
        <v>3.3492369382057727E-2</v>
      </c>
    </row>
    <row r="180" spans="1:3" x14ac:dyDescent="0.7">
      <c r="A180">
        <v>1750</v>
      </c>
      <c r="B180" s="24">
        <v>2.9246231155778899</v>
      </c>
      <c r="C180" s="24">
        <v>3.274089299612061E-2</v>
      </c>
    </row>
    <row r="181" spans="1:3" x14ac:dyDescent="0.7">
      <c r="A181">
        <v>1760</v>
      </c>
      <c r="B181" s="24">
        <v>2.9413735343383585</v>
      </c>
      <c r="C181" s="24">
        <v>3.2005915420188463E-2</v>
      </c>
    </row>
    <row r="182" spans="1:3" x14ac:dyDescent="0.7">
      <c r="A182">
        <v>1770</v>
      </c>
      <c r="B182" s="24">
        <v>2.9581239530988279</v>
      </c>
      <c r="C182" s="24">
        <v>3.128708613617618E-2</v>
      </c>
    </row>
    <row r="183" spans="1:3" x14ac:dyDescent="0.7">
      <c r="A183">
        <v>1780</v>
      </c>
      <c r="B183" s="24">
        <v>2.9748743718592965</v>
      </c>
      <c r="C183" s="24">
        <v>3.0584061676917931E-2</v>
      </c>
    </row>
    <row r="184" spans="1:3" x14ac:dyDescent="0.7">
      <c r="A184">
        <v>1790</v>
      </c>
      <c r="B184" s="24">
        <v>2.9916247906197655</v>
      </c>
      <c r="C184" s="24">
        <v>2.9896505498507336E-2</v>
      </c>
    </row>
    <row r="185" spans="1:3" x14ac:dyDescent="0.7">
      <c r="A185">
        <v>1800</v>
      </c>
      <c r="B185" s="24">
        <v>3.0083752093802345</v>
      </c>
      <c r="C185" s="24">
        <v>2.9224087854398142E-2</v>
      </c>
    </row>
    <row r="186" spans="1:3" x14ac:dyDescent="0.7">
      <c r="A186">
        <v>1810</v>
      </c>
      <c r="B186" s="24">
        <v>3.0251256281407035</v>
      </c>
      <c r="C186" s="24">
        <v>2.8566485671265126E-2</v>
      </c>
    </row>
    <row r="187" spans="1:3" x14ac:dyDescent="0.7">
      <c r="A187">
        <v>1820</v>
      </c>
      <c r="B187" s="24">
        <v>3.0418760469011725</v>
      </c>
      <c r="C187" s="24">
        <v>2.7923382426623896E-2</v>
      </c>
    </row>
    <row r="188" spans="1:3" x14ac:dyDescent="0.7">
      <c r="A188">
        <v>1830</v>
      </c>
      <c r="B188" s="24">
        <v>3.058626465661642</v>
      </c>
      <c r="C188" s="24">
        <v>2.7294468028207494E-2</v>
      </c>
    </row>
    <row r="189" spans="1:3" x14ac:dyDescent="0.7">
      <c r="A189">
        <v>1840</v>
      </c>
      <c r="B189" s="24">
        <v>3.0753768844221105</v>
      </c>
      <c r="C189" s="24">
        <v>2.667943869509538E-2</v>
      </c>
    </row>
    <row r="190" spans="1:3" x14ac:dyDescent="0.7">
      <c r="A190">
        <v>1850</v>
      </c>
      <c r="B190" s="24">
        <v>3.0921273031825796</v>
      </c>
      <c r="C190" s="24">
        <v>2.6077996840590065E-2</v>
      </c>
    </row>
    <row r="191" spans="1:3" x14ac:dyDescent="0.7">
      <c r="A191">
        <v>1860</v>
      </c>
      <c r="B191" s="24">
        <v>3.1088777219430486</v>
      </c>
      <c r="C191" s="24">
        <v>2.5489850956834984E-2</v>
      </c>
    </row>
    <row r="192" spans="1:3" x14ac:dyDescent="0.7">
      <c r="A192">
        <v>1870</v>
      </c>
      <c r="B192" s="24">
        <v>3.1256281407035176</v>
      </c>
      <c r="C192" s="24">
        <v>2.4914715501166116E-2</v>
      </c>
    </row>
    <row r="193" spans="1:3" x14ac:dyDescent="0.7">
      <c r="A193">
        <v>1880</v>
      </c>
      <c r="B193" s="24">
        <v>3.142378559463987</v>
      </c>
      <c r="C193" s="24">
        <v>2.4352310784189743E-2</v>
      </c>
    </row>
    <row r="194" spans="1:3" x14ac:dyDescent="0.7">
      <c r="A194">
        <v>1890</v>
      </c>
      <c r="B194" s="24">
        <v>3.159128978224456</v>
      </c>
      <c r="C194" s="24">
        <v>2.3802362859576234E-2</v>
      </c>
    </row>
    <row r="195" spans="1:3" x14ac:dyDescent="0.7">
      <c r="A195">
        <v>1900</v>
      </c>
      <c r="B195" s="24">
        <v>3.1758793969849251</v>
      </c>
      <c r="C195" s="24">
        <v>2.3264603415560456E-2</v>
      </c>
    </row>
    <row r="196" spans="1:3" x14ac:dyDescent="0.7">
      <c r="A196">
        <v>1910</v>
      </c>
      <c r="B196" s="24">
        <v>3.1926298157453936</v>
      </c>
      <c r="C196" s="24">
        <v>2.2738769668137617E-2</v>
      </c>
    </row>
    <row r="197" spans="1:3" x14ac:dyDescent="0.7">
      <c r="A197">
        <v>1920</v>
      </c>
      <c r="B197" s="24">
        <v>3.2093802345058626</v>
      </c>
      <c r="C197" s="24">
        <v>2.2224604255942981E-2</v>
      </c>
    </row>
    <row r="198" spans="1:3" x14ac:dyDescent="0.7">
      <c r="A198">
        <v>1930</v>
      </c>
      <c r="B198" s="24">
        <v>3.2261306532663316</v>
      </c>
      <c r="C198" s="24">
        <v>2.1721855136803303E-2</v>
      </c>
    </row>
    <row r="199" spans="1:3" x14ac:dyDescent="0.7">
      <c r="A199">
        <v>1940</v>
      </c>
      <c r="B199" s="24">
        <v>3.2428810720268006</v>
      </c>
      <c r="C199" s="24">
        <v>2.1230275485946731E-2</v>
      </c>
    </row>
    <row r="200" spans="1:3" x14ac:dyDescent="0.7">
      <c r="A200">
        <v>1950</v>
      </c>
      <c r="B200" s="24">
        <v>3.2596314907872697</v>
      </c>
      <c r="C200" s="24">
        <v>2.074962359585766E-2</v>
      </c>
    </row>
    <row r="201" spans="1:3" x14ac:dyDescent="0.7">
      <c r="A201">
        <v>1960</v>
      </c>
      <c r="B201" s="24">
        <v>3.2763819095477387</v>
      </c>
      <c r="C201" s="24">
        <v>2.0279662777762875E-2</v>
      </c>
    </row>
    <row r="202" spans="1:3" x14ac:dyDescent="0.7">
      <c r="A202">
        <v>1970</v>
      </c>
      <c r="B202" s="24">
        <v>3.2931323283082081</v>
      </c>
      <c r="C202" s="24">
        <v>1.9820161264733689E-2</v>
      </c>
    </row>
    <row r="203" spans="1:3" x14ac:dyDescent="0.7">
      <c r="A203">
        <v>1980</v>
      </c>
      <c r="B203" s="24">
        <v>3.3098827470686767</v>
      </c>
      <c r="C203" s="24">
        <v>1.9370892116389676E-2</v>
      </c>
    </row>
    <row r="204" spans="1:3" x14ac:dyDescent="0.7">
      <c r="A204">
        <v>1990</v>
      </c>
      <c r="B204" s="24">
        <v>3.3266331658291461</v>
      </c>
      <c r="C204" s="24">
        <v>1.8931633125187777E-2</v>
      </c>
    </row>
    <row r="205" spans="1:3" x14ac:dyDescent="0.7">
      <c r="A205" s="1">
        <v>2000</v>
      </c>
      <c r="B205" s="8">
        <v>3.3433835845896147</v>
      </c>
      <c r="C205" s="8">
        <v>1.8502166724281857E-2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重回帰の検定</vt:lpstr>
      <vt:lpstr>重回帰の検定 (作成例)</vt:lpstr>
      <vt:lpstr>決定係数</vt:lpstr>
      <vt:lpstr>サンプルサイズとP値 (作成例)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羽山博</dc:creator>
  <cp:lastModifiedBy>羽山博</cp:lastModifiedBy>
  <dcterms:created xsi:type="dcterms:W3CDTF">2024-01-14T22:34:46Z</dcterms:created>
  <dcterms:modified xsi:type="dcterms:W3CDTF">2025-12-09T23:50:54Z</dcterms:modified>
</cp:coreProperties>
</file>