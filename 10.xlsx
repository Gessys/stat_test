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29C5C0BB-1976-4EDD-A579-978A4E3E40C7}" xr6:coauthVersionLast="47" xr6:coauthVersionMax="47" xr10:uidLastSave="{00000000-0000-0000-0000-000000000000}"/>
  <bookViews>
    <workbookView xWindow="5977" yWindow="1508" windowWidth="28186" windowHeight="15045" xr2:uid="{43A727E7-E0DD-4276-BE22-A0C497C034AF}"/>
  </bookViews>
  <sheets>
    <sheet name="係数の検定" sheetId="3" r:id="rId1"/>
    <sheet name="係数の検定 (作成例)" sheetId="7" r:id="rId2"/>
    <sheet name="係数の検定 (標準化)" sheetId="5" r:id="rId3"/>
    <sheet name="多重共線性" sheetId="4" r:id="rId4"/>
    <sheet name="標準誤差" sheetId="1" r:id="rId5"/>
  </sheets>
  <definedNames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 a="1"/>
  <c r="M13" i="1" s="1"/>
  <c r="L24" i="5" a="1"/>
  <c r="L24" i="5" s="1"/>
  <c r="L23" i="5" a="1"/>
  <c r="L23" i="5" s="1"/>
  <c r="L13" i="5" a="1"/>
  <c r="L16" i="7" a="1"/>
  <c r="L16" i="7" s="1"/>
  <c r="L24" i="7" a="1"/>
  <c r="L24" i="7" s="1"/>
  <c r="L23" i="7" a="1"/>
  <c r="L23" i="7" s="1"/>
  <c r="L18" i="7" a="1"/>
  <c r="L18" i="7" s="1"/>
  <c r="L13" i="7" a="1"/>
  <c r="L13" i="7" s="1"/>
  <c r="L4" i="7" a="1"/>
  <c r="L10" i="7" s="1"/>
  <c r="D4" i="5" a="1"/>
  <c r="D4" i="5" s="1"/>
  <c r="L4" i="5" s="1" a="1"/>
  <c r="L10" i="5" s="1"/>
  <c r="S5" i="5"/>
  <c r="T5" i="5"/>
  <c r="R5" i="5"/>
  <c r="S4" i="5"/>
  <c r="T4" i="5"/>
  <c r="R4" i="5"/>
  <c r="L9" i="4" a="1"/>
  <c r="L9" i="4" s="1"/>
  <c r="N5" i="4"/>
  <c r="M6" i="4" s="1"/>
  <c r="N4" i="4"/>
  <c r="L6" i="4" s="1"/>
  <c r="M4" i="4"/>
  <c r="L5" i="4" s="1"/>
  <c r="U4" i="1" a="1"/>
  <c r="U4" i="1" s="1"/>
  <c r="M4" i="1" a="1"/>
  <c r="M4" i="1" s="1"/>
  <c r="L13" i="5" l="1"/>
  <c r="L14" i="5" s="1" a="1"/>
  <c r="L4" i="7"/>
  <c r="U15" i="1" a="1"/>
  <c r="U15" i="1" s="1"/>
  <c r="T25" i="1" s="1" a="1"/>
  <c r="T25" i="1" s="1"/>
  <c r="L4" i="5"/>
  <c r="M10" i="1"/>
  <c r="L14" i="5" l="1"/>
  <c r="L19" i="5" a="1"/>
  <c r="L16" i="5" a="1"/>
  <c r="L16" i="5" s="1"/>
  <c r="L10" i="3"/>
  <c r="M14" i="1" a="1"/>
  <c r="M14" i="1" s="1"/>
  <c r="L19" i="5" l="1"/>
  <c r="L20" i="5" s="1" a="1"/>
  <c r="L20" i="5" s="1"/>
  <c r="L14" i="7" a="1"/>
  <c r="L18" i="5" l="1" a="1"/>
  <c r="L18" i="5" s="1"/>
  <c r="L14" i="7"/>
  <c r="L19" i="7" s="1" a="1"/>
  <c r="L19" i="7" l="1"/>
  <c r="L20" i="7" a="1"/>
  <c r="L2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<sst xmlns="http://schemas.openxmlformats.org/spreadsheetml/2006/main" count="1443" uniqueCount="170">
  <si>
    <t>メーカー</t>
  </si>
  <si>
    <t>名称</t>
  </si>
  <si>
    <t>タイプ</t>
  </si>
  <si>
    <t>年式</t>
  </si>
  <si>
    <t>排気量（cc）</t>
  </si>
  <si>
    <t>ミッション</t>
  </si>
  <si>
    <t>車検</t>
  </si>
  <si>
    <t>本体価格（万円）</t>
  </si>
  <si>
    <t>スバル</t>
  </si>
  <si>
    <t>レガシィ</t>
  </si>
  <si>
    <t>セダン</t>
  </si>
  <si>
    <t>CVT</t>
  </si>
  <si>
    <t>令和2年4月</t>
  </si>
  <si>
    <t>マツダ</t>
  </si>
  <si>
    <t>CX-5</t>
  </si>
  <si>
    <t>SUV</t>
  </si>
  <si>
    <t>AT</t>
  </si>
  <si>
    <t>令和3年1月</t>
  </si>
  <si>
    <t>スズキ</t>
  </si>
  <si>
    <t>アルト</t>
  </si>
  <si>
    <t>コンパクト</t>
  </si>
  <si>
    <t>日産</t>
  </si>
  <si>
    <t>ティアナ</t>
  </si>
  <si>
    <t>令和2年8月</t>
  </si>
  <si>
    <t>CX-9</t>
  </si>
  <si>
    <t>令和2年11月</t>
  </si>
  <si>
    <t>トヨタ</t>
  </si>
  <si>
    <t>ハイエース</t>
  </si>
  <si>
    <t>バン</t>
  </si>
  <si>
    <t>車検切れ</t>
  </si>
  <si>
    <t>アルファロメオ</t>
  </si>
  <si>
    <t>ジュリアスプリント</t>
  </si>
  <si>
    <t>クーペ</t>
  </si>
  <si>
    <t>MT</t>
  </si>
  <si>
    <t>令和2年12月</t>
  </si>
  <si>
    <t>ポルシェ</t>
  </si>
  <si>
    <t>スポーツカー</t>
  </si>
  <si>
    <t>令和3年5月</t>
  </si>
  <si>
    <t>パッソ</t>
  </si>
  <si>
    <t>ロードスター</t>
  </si>
  <si>
    <t>令和2年1月</t>
  </si>
  <si>
    <t>バレーノ</t>
  </si>
  <si>
    <t>令和2年5月</t>
  </si>
  <si>
    <t>テスラ</t>
  </si>
  <si>
    <t>モデル3</t>
  </si>
  <si>
    <t>フォルクスワーゲン</t>
  </si>
  <si>
    <t>ティグアン</t>
  </si>
  <si>
    <t>デミオ</t>
  </si>
  <si>
    <t>ヴィッツ</t>
  </si>
  <si>
    <t>ハッチバック</t>
  </si>
  <si>
    <t>ホンダ</t>
  </si>
  <si>
    <t>フィット</t>
  </si>
  <si>
    <t>セントラ</t>
  </si>
  <si>
    <t>ソリオ</t>
  </si>
  <si>
    <t>ワゴン</t>
  </si>
  <si>
    <t>レヴォーグ</t>
  </si>
  <si>
    <t>令和2年10月</t>
  </si>
  <si>
    <t>ライフ</t>
  </si>
  <si>
    <t>ヴォクシー</t>
  </si>
  <si>
    <t>ミニバン</t>
  </si>
  <si>
    <t>インサイト</t>
  </si>
  <si>
    <t>ハイブリッド</t>
  </si>
  <si>
    <t>ノート</t>
  </si>
  <si>
    <t>ピクシスエポック</t>
  </si>
  <si>
    <t>アウディ</t>
  </si>
  <si>
    <t>A4</t>
  </si>
  <si>
    <t>プリウス</t>
  </si>
  <si>
    <t>シャトル</t>
  </si>
  <si>
    <t>フェアレディZ</t>
  </si>
  <si>
    <t>N-WGN</t>
  </si>
  <si>
    <t>令和3年3月</t>
  </si>
  <si>
    <t>BMW</t>
  </si>
  <si>
    <t>5シリーズ</t>
  </si>
  <si>
    <t>令和3年6月</t>
  </si>
  <si>
    <t>フィットハイブリッド</t>
  </si>
  <si>
    <t>令和2年6月</t>
  </si>
  <si>
    <t>ムラーノ</t>
  </si>
  <si>
    <t>令和3年4月</t>
  </si>
  <si>
    <t>MX-5</t>
  </si>
  <si>
    <t>セレナ</t>
  </si>
  <si>
    <t>令和2年7月</t>
  </si>
  <si>
    <t>ダイハツ</t>
  </si>
  <si>
    <t>ムーヴキャンバス</t>
  </si>
  <si>
    <t>ノア</t>
  </si>
  <si>
    <t>シビック</t>
  </si>
  <si>
    <t>A6</t>
  </si>
  <si>
    <t>ジャガー</t>
  </si>
  <si>
    <t>XE</t>
  </si>
  <si>
    <t>インプレッサXV</t>
  </si>
  <si>
    <t>N-BOXカスタム</t>
  </si>
  <si>
    <t>ヴェゼル</t>
  </si>
  <si>
    <t>スイフト</t>
  </si>
  <si>
    <t>令和2年9月</t>
  </si>
  <si>
    <t>ランドローバー</t>
  </si>
  <si>
    <t>ディスカバリー</t>
  </si>
  <si>
    <t>カイエン</t>
  </si>
  <si>
    <t>令和3年2月</t>
  </si>
  <si>
    <t>走行（km）</t>
    <phoneticPr fontId="1"/>
  </si>
  <si>
    <t>P</t>
    <phoneticPr fontId="1"/>
  </si>
  <si>
    <t>T</t>
    <phoneticPr fontId="1"/>
  </si>
  <si>
    <t>中古車データ（架空データ）</t>
    <rPh sb="0" eb="3">
      <t>チュウコシャ</t>
    </rPh>
    <rPh sb="7" eb="9">
      <t>カクウ</t>
    </rPh>
    <phoneticPr fontId="1"/>
  </si>
  <si>
    <t>年式</t>
    <rPh sb="0" eb="2">
      <t>ネンシキ</t>
    </rPh>
    <phoneticPr fontId="1"/>
  </si>
  <si>
    <t>排気量</t>
    <rPh sb="0" eb="3">
      <t>ハイキリョウ</t>
    </rPh>
    <phoneticPr fontId="1"/>
  </si>
  <si>
    <t>走行</t>
    <rPh sb="0" eb="2">
      <t>ソウコウ</t>
    </rPh>
    <phoneticPr fontId="1"/>
  </si>
  <si>
    <t>定数項</t>
    <rPh sb="0" eb="2">
      <t>テイスウ</t>
    </rPh>
    <rPh sb="2" eb="3">
      <t>コウ</t>
    </rPh>
    <phoneticPr fontId="1"/>
  </si>
  <si>
    <t>係数</t>
    <rPh sb="0" eb="2">
      <t>ケイスウ</t>
    </rPh>
    <phoneticPr fontId="1"/>
  </si>
  <si>
    <t>標準誤差</t>
    <rPh sb="0" eb="2">
      <t>ヒョウジュン</t>
    </rPh>
    <rPh sb="2" eb="4">
      <t>ゴサ</t>
    </rPh>
    <phoneticPr fontId="1"/>
  </si>
  <si>
    <t>回帰式の当てはまり</t>
    <rPh sb="0" eb="3">
      <t>カイキシキ</t>
    </rPh>
    <rPh sb="4" eb="5">
      <t>ア</t>
    </rPh>
    <phoneticPr fontId="1"/>
  </si>
  <si>
    <t>係数の有効性</t>
    <rPh sb="0" eb="2">
      <t>ケイスウ</t>
    </rPh>
    <rPh sb="3" eb="6">
      <t>ユウコウセイ</t>
    </rPh>
    <phoneticPr fontId="1"/>
  </si>
  <si>
    <r>
      <t>R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｜yの標準誤差</t>
    </r>
    <rPh sb="5" eb="7">
      <t>ヒョウジュン</t>
    </rPh>
    <rPh sb="7" eb="9">
      <t>ゴサ</t>
    </rPh>
    <phoneticPr fontId="1"/>
  </si>
  <si>
    <t>F｜自由度</t>
    <rPh sb="2" eb="5">
      <t>ジユウド</t>
    </rPh>
    <phoneticPr fontId="1"/>
  </si>
  <si>
    <t>回帰｜誤差の二乗和</t>
    <rPh sb="0" eb="2">
      <t>カイキ</t>
    </rPh>
    <rPh sb="3" eb="5">
      <t>ゴサ</t>
    </rPh>
    <rPh sb="6" eb="8">
      <t>ジジョウ</t>
    </rPh>
    <rPh sb="8" eb="9">
      <t>ワ</t>
    </rPh>
    <phoneticPr fontId="1"/>
  </si>
  <si>
    <t>相関行列</t>
    <rPh sb="0" eb="2">
      <t>ソウカン</t>
    </rPh>
    <rPh sb="2" eb="4">
      <t>ギョウレツ</t>
    </rPh>
    <phoneticPr fontId="1"/>
  </si>
  <si>
    <t>yの誤差分散</t>
    <rPh sb="2" eb="4">
      <t>ゴサ</t>
    </rPh>
    <rPh sb="4" eb="6">
      <t>ブンサン</t>
    </rPh>
    <phoneticPr fontId="1"/>
  </si>
  <si>
    <t>平均</t>
    <rPh sb="0" eb="2">
      <t>ヘイキン</t>
    </rPh>
    <phoneticPr fontId="1"/>
  </si>
  <si>
    <t>標準偏差</t>
    <rPh sb="0" eb="2">
      <t>ヒョウジュン</t>
    </rPh>
    <rPh sb="2" eb="4">
      <t>ヘンサ</t>
    </rPh>
    <phoneticPr fontId="1"/>
  </si>
  <si>
    <t>基本統計量</t>
    <rPh sb="0" eb="2">
      <t>キホン</t>
    </rPh>
    <rPh sb="2" eb="5">
      <t>トウケイリョウ</t>
    </rPh>
    <phoneticPr fontId="1"/>
  </si>
  <si>
    <t>多重共線性</t>
    <rPh sb="0" eb="2">
      <t>タジュウ</t>
    </rPh>
    <rPh sb="2" eb="4">
      <t>キョウセン</t>
    </rPh>
    <rPh sb="4" eb="5">
      <t>セイ</t>
    </rPh>
    <phoneticPr fontId="1"/>
  </si>
  <si>
    <t>逆行列</t>
    <rPh sb="0" eb="3">
      <t>ギャクギョウレツ</t>
    </rPh>
    <phoneticPr fontId="1"/>
  </si>
  <si>
    <t>① 対角成分には1を入力しておく</t>
    <rPh sb="2" eb="4">
      <t>タイカク</t>
    </rPh>
    <rPh sb="4" eb="6">
      <t>セイブン</t>
    </rPh>
    <rPh sb="10" eb="12">
      <t>ニュウリョク</t>
    </rPh>
    <phoneticPr fontId="1"/>
  </si>
  <si>
    <t>⑤ セルL5に「=M4」と入力する</t>
    <rPh sb="13" eb="15">
      <t>ニュウリョク</t>
    </rPh>
    <phoneticPr fontId="1"/>
  </si>
  <si>
    <t>⑥ セルL6に「=N4」と入力する</t>
    <rPh sb="13" eb="15">
      <t>ニュウリョク</t>
    </rPh>
    <phoneticPr fontId="1"/>
  </si>
  <si>
    <t>⑦ セルM6に「=N5」と入力する</t>
    <rPh sb="13" eb="15">
      <t>ニュウリョク</t>
    </rPh>
    <phoneticPr fontId="1"/>
  </si>
  <si>
    <t>◆ 相関行列を求める手順</t>
    <rPh sb="2" eb="4">
      <t>ソウカン</t>
    </rPh>
    <rPh sb="4" eb="6">
      <t>ギョウレツ</t>
    </rPh>
    <rPh sb="7" eb="8">
      <t>モト</t>
    </rPh>
    <rPh sb="10" eb="12">
      <t>テジュン</t>
    </rPh>
    <phoneticPr fontId="1"/>
  </si>
  <si>
    <t>◆ 逆行列を求める手順</t>
    <rPh sb="2" eb="5">
      <t>ギャクギョウレツ</t>
    </rPh>
    <rPh sb="6" eb="7">
      <t>モト</t>
    </rPh>
    <rPh sb="9" eb="11">
      <t>テジュン</t>
    </rPh>
    <phoneticPr fontId="1"/>
  </si>
  <si>
    <t>①セルL9に「=MINVERSE(L4:N6)」と入力する</t>
    <rPh sb="25" eb="27">
      <t>ニュウリョク</t>
    </rPh>
    <phoneticPr fontId="1"/>
  </si>
  <si>
    <t>② セルM4に「=CORREL(D4:D53,E4:E53)」と入力する</t>
    <rPh sb="32" eb="34">
      <t>ニュウリョク</t>
    </rPh>
    <phoneticPr fontId="1"/>
  </si>
  <si>
    <t>③ セルN4に「=CORREL(D4:D53,F4:F53)」と入力する</t>
    <rPh sb="32" eb="34">
      <t>ニュウリョク</t>
    </rPh>
    <phoneticPr fontId="1"/>
  </si>
  <si>
    <t>④ セルN5に「=CORREL(E4:E53,F4:F53)」と入力する</t>
    <rPh sb="32" eb="34">
      <t>ニュウリョク</t>
    </rPh>
    <phoneticPr fontId="1"/>
  </si>
  <si>
    <t>◆ VIF（分散拡大係数）</t>
    <rPh sb="6" eb="8">
      <t>ブンサン</t>
    </rPh>
    <rPh sb="8" eb="10">
      <t>カクダイ</t>
    </rPh>
    <rPh sb="10" eb="12">
      <t>ケイスウ</t>
    </rPh>
    <phoneticPr fontId="1"/>
  </si>
  <si>
    <t>VIFの値が5～10を超えると多重共線性が見られる</t>
    <rPh sb="4" eb="5">
      <t>アタイ</t>
    </rPh>
    <rPh sb="11" eb="12">
      <t>コ</t>
    </rPh>
    <rPh sb="15" eb="17">
      <t>タジュウ</t>
    </rPh>
    <rPh sb="17" eb="19">
      <t>キョウセン</t>
    </rPh>
    <rPh sb="19" eb="20">
      <t>セイ</t>
    </rPh>
    <rPh sb="21" eb="22">
      <t>ミ</t>
    </rPh>
    <phoneticPr fontId="1"/>
  </si>
  <si>
    <t>逆行列の対角成分がVIFの値（太字の値）</t>
    <rPh sb="0" eb="3">
      <t>ギャクギョウレツ</t>
    </rPh>
    <rPh sb="4" eb="6">
      <t>タイカク</t>
    </rPh>
    <rPh sb="6" eb="8">
      <t>セイブン</t>
    </rPh>
    <rPh sb="13" eb="14">
      <t>アタイ</t>
    </rPh>
    <rPh sb="15" eb="17">
      <t>フトジ</t>
    </rPh>
    <rPh sb="18" eb="19">
      <t>アタイ</t>
    </rPh>
    <phoneticPr fontId="1"/>
  </si>
  <si>
    <t>ボンフェローニの補正</t>
    <rPh sb="8" eb="10">
      <t>ホセイ</t>
    </rPh>
    <phoneticPr fontId="1"/>
  </si>
  <si>
    <t>小さい順に並べ替え</t>
    <rPh sb="0" eb="1">
      <t>チイ</t>
    </rPh>
    <rPh sb="3" eb="4">
      <t>ジュン</t>
    </rPh>
    <rPh sb="5" eb="6">
      <t>ナラ</t>
    </rPh>
    <rPh sb="7" eb="8">
      <t>カ</t>
    </rPh>
    <phoneticPr fontId="1"/>
  </si>
  <si>
    <t>ホルムの補正</t>
    <rPh sb="4" eb="6">
      <t>ホセイ</t>
    </rPh>
    <phoneticPr fontId="1"/>
  </si>
  <si>
    <t>信頼区間</t>
    <rPh sb="0" eb="2">
      <t>シンライ</t>
    </rPh>
    <rPh sb="2" eb="4">
      <t>クカン</t>
    </rPh>
    <phoneticPr fontId="1"/>
  </si>
  <si>
    <t>下限</t>
    <rPh sb="0" eb="2">
      <t>カゲン</t>
    </rPh>
    <phoneticPr fontId="1"/>
  </si>
  <si>
    <t>上限</t>
    <rPh sb="0" eb="2">
      <t>ジョウゲン</t>
    </rPh>
    <phoneticPr fontId="1"/>
  </si>
  <si>
    <t>中古車データ（架空データ：標準化）</t>
    <rPh sb="0" eb="3">
      <t>チュウコシャ</t>
    </rPh>
    <rPh sb="7" eb="9">
      <t>カクウ</t>
    </rPh>
    <rPh sb="13" eb="16">
      <t>ヒョウジュンカ</t>
    </rPh>
    <phoneticPr fontId="1"/>
  </si>
  <si>
    <t>◆ 標準化の方法</t>
    <rPh sb="2" eb="5">
      <t>ヒョウジュンカ</t>
    </rPh>
    <rPh sb="6" eb="8">
      <t>ホウホウ</t>
    </rPh>
    <phoneticPr fontId="1"/>
  </si>
  <si>
    <t>② セルR4をセルT4までコピーする</t>
    <phoneticPr fontId="1"/>
  </si>
  <si>
    <t>① セルR4に「=AVERAGE(係数の検定!D4:D53)」と入力する</t>
    <rPh sb="32" eb="34">
      <t>ニュウリョク</t>
    </rPh>
    <phoneticPr fontId="1"/>
  </si>
  <si>
    <t>④ セルR5をセルT5までコピーする</t>
    <phoneticPr fontId="1"/>
  </si>
  <si>
    <t>⑤ セルD4に「=STANDARDIZE(係数の検定!D4:F53,R4:T4,R5:T5)」と入力する</t>
    <rPh sb="48" eb="50">
      <t>ニュウリョク</t>
    </rPh>
    <phoneticPr fontId="1"/>
  </si>
  <si>
    <t>・元のデータは「係数の検定」ワークシートにあるのでそれを使う</t>
    <rPh sb="1" eb="2">
      <t>モト</t>
    </rPh>
    <rPh sb="8" eb="10">
      <t>ケイスウ</t>
    </rPh>
    <rPh sb="11" eb="13">
      <t>ケンテイ</t>
    </rPh>
    <rPh sb="28" eb="29">
      <t>ツカ</t>
    </rPh>
    <phoneticPr fontId="1"/>
  </si>
  <si>
    <t>・標準化の計算方法は（各データ-平均）/標準偏差</t>
    <rPh sb="1" eb="4">
      <t>ヒョウジュンカ</t>
    </rPh>
    <rPh sb="5" eb="7">
      <t>ケイサン</t>
    </rPh>
    <rPh sb="7" eb="9">
      <t>ホウホウ</t>
    </rPh>
    <rPh sb="11" eb="12">
      <t>カク</t>
    </rPh>
    <rPh sb="16" eb="18">
      <t>ヘイキン</t>
    </rPh>
    <rPh sb="20" eb="22">
      <t>ヒョウジュン</t>
    </rPh>
    <rPh sb="22" eb="24">
      <t>ヘンサ</t>
    </rPh>
    <phoneticPr fontId="1"/>
  </si>
  <si>
    <t>◆ 手順</t>
    <rPh sb="2" eb="4">
      <t>テジュン</t>
    </rPh>
    <phoneticPr fontId="1"/>
  </si>
  <si>
    <t>・上の式で計算してもいいがSTANDARDIZE関数が使える</t>
    <rPh sb="1" eb="2">
      <t>ウエ</t>
    </rPh>
    <rPh sb="3" eb="4">
      <t>シキ</t>
    </rPh>
    <rPh sb="5" eb="7">
      <t>ケイサン</t>
    </rPh>
    <rPh sb="24" eb="26">
      <t>カンスウ</t>
    </rPh>
    <rPh sb="27" eb="28">
      <t>ツカ</t>
    </rPh>
    <phoneticPr fontId="1"/>
  </si>
  <si>
    <t>◆ LINEST関数を使わずに標準誤差を求める方法</t>
    <rPh sb="8" eb="10">
      <t>カンスウ</t>
    </rPh>
    <rPh sb="11" eb="12">
      <t>ツカ</t>
    </rPh>
    <rPh sb="15" eb="17">
      <t>ヒョウジュン</t>
    </rPh>
    <rPh sb="17" eb="19">
      <t>ゴサ</t>
    </rPh>
    <rPh sb="20" eb="21">
      <t>モト</t>
    </rPh>
    <rPh sb="23" eb="25">
      <t>ホウホウ</t>
    </rPh>
    <phoneticPr fontId="1"/>
  </si>
  <si>
    <t>・この例ではXはセルD4:F53、yはセルJ4:J53</t>
    <rPh sb="3" eb="4">
      <t>レイ</t>
    </rPh>
    <phoneticPr fontId="1"/>
  </si>
  <si>
    <t>・係数と定数項は以下の式で求められる</t>
    <rPh sb="1" eb="3">
      <t>ケイスウ</t>
    </rPh>
    <rPh sb="4" eb="6">
      <t>テイスウ</t>
    </rPh>
    <rPh sb="6" eb="7">
      <t>コウ</t>
    </rPh>
    <rPh sb="8" eb="10">
      <t>イカ</t>
    </rPh>
    <rPh sb="11" eb="12">
      <t>シキ</t>
    </rPh>
    <rPh sb="13" eb="14">
      <t>モト</t>
    </rPh>
    <phoneticPr fontId="1"/>
  </si>
  <si>
    <t>　ここで、Aは係数と定数項のベクトル</t>
    <rPh sb="7" eb="9">
      <t>ケイスウ</t>
    </rPh>
    <rPh sb="10" eb="12">
      <t>テイスウ</t>
    </rPh>
    <rPh sb="12" eb="13">
      <t>コウ</t>
    </rPh>
    <phoneticPr fontId="1"/>
  </si>
  <si>
    <t>　上付きのTは転置行列、-1は逆行列を表す</t>
    <rPh sb="1" eb="3">
      <t>ウワツ</t>
    </rPh>
    <rPh sb="7" eb="9">
      <t>テンチ</t>
    </rPh>
    <rPh sb="9" eb="11">
      <t>ギョウレツ</t>
    </rPh>
    <rPh sb="15" eb="18">
      <t>ギャクギョウレツ</t>
    </rPh>
    <rPh sb="19" eb="20">
      <t>アラワ</t>
    </rPh>
    <phoneticPr fontId="1"/>
  </si>
  <si>
    <t>　転置行列はTRANSPOSE関数で、逆行列はMINVERS関数で求められる</t>
    <rPh sb="1" eb="3">
      <t>テンチ</t>
    </rPh>
    <rPh sb="3" eb="5">
      <t>ギョウレツ</t>
    </rPh>
    <rPh sb="15" eb="17">
      <t>カンスウ</t>
    </rPh>
    <rPh sb="19" eb="22">
      <t>ギャクギョウレツ</t>
    </rPh>
    <rPh sb="30" eb="32">
      <t>カンスウ</t>
    </rPh>
    <rPh sb="33" eb="34">
      <t>モト</t>
    </rPh>
    <phoneticPr fontId="1"/>
  </si>
  <si>
    <t>A</t>
    <phoneticPr fontId="1"/>
  </si>
  <si>
    <t>　行列の積はMMULT関数で求められる</t>
    <rPh sb="1" eb="3">
      <t>ギョウレツ</t>
    </rPh>
    <rPh sb="4" eb="5">
      <t>セキ</t>
    </rPh>
    <rPh sb="11" eb="13">
      <t>カンスウ</t>
    </rPh>
    <rPh sb="14" eb="15">
      <t>モト</t>
    </rPh>
    <phoneticPr fontId="1"/>
  </si>
  <si>
    <t>● 説明変数をX、目的変数をyとして、まず係数と定数項を求める</t>
    <rPh sb="2" eb="4">
      <t>セツメイ</t>
    </rPh>
    <rPh sb="4" eb="6">
      <t>ヘンスウ</t>
    </rPh>
    <rPh sb="9" eb="11">
      <t>モクテキ</t>
    </rPh>
    <rPh sb="11" eb="13">
      <t>ヘンスウ</t>
    </rPh>
    <rPh sb="21" eb="23">
      <t>ケイスウ</t>
    </rPh>
    <rPh sb="24" eb="26">
      <t>テイスウ</t>
    </rPh>
    <rPh sb="26" eb="27">
      <t>コウ</t>
    </rPh>
    <rPh sb="28" eb="29">
      <t>モト</t>
    </rPh>
    <phoneticPr fontId="1"/>
  </si>
  <si>
    <t>● yの誤差分散を求める</t>
    <rPh sb="4" eb="6">
      <t>ゴサ</t>
    </rPh>
    <rPh sb="6" eb="8">
      <t>ブンサン</t>
    </rPh>
    <rPh sb="9" eb="10">
      <t>モト</t>
    </rPh>
    <phoneticPr fontId="1"/>
  </si>
  <si>
    <t>・以下の式で求められる</t>
    <rPh sb="1" eb="3">
      <t>イカ</t>
    </rPh>
    <rPh sb="4" eb="5">
      <t>シキ</t>
    </rPh>
    <rPh sb="6" eb="7">
      <t>モト</t>
    </rPh>
    <phoneticPr fontId="1"/>
  </si>
  <si>
    <t>　ここでは、サンプルサイズn=50、説明変数の個数k=3</t>
    <rPh sb="18" eb="20">
      <t>セツメイ</t>
    </rPh>
    <rPh sb="20" eb="22">
      <t>ヘンスウ</t>
    </rPh>
    <rPh sb="23" eb="25">
      <t>コスウ</t>
    </rPh>
    <phoneticPr fontId="1"/>
  </si>
  <si>
    <t>● 分散共分散行列とyの誤差分散の積のルートを求める</t>
    <rPh sb="2" eb="4">
      <t>ブンサン</t>
    </rPh>
    <rPh sb="4" eb="7">
      <t>キョウブンサン</t>
    </rPh>
    <rPh sb="7" eb="9">
      <t>ギョウレツ</t>
    </rPh>
    <rPh sb="12" eb="14">
      <t>ゴサ</t>
    </rPh>
    <rPh sb="14" eb="16">
      <t>ブンサン</t>
    </rPh>
    <rPh sb="17" eb="18">
      <t>セキ</t>
    </rPh>
    <rPh sb="23" eb="24">
      <t>モト</t>
    </rPh>
    <phoneticPr fontId="1"/>
  </si>
  <si>
    <t>・これはLINEST関数で求めたyの標準誤差（セルN6）の二乗</t>
    <rPh sb="10" eb="12">
      <t>カンスウ</t>
    </rPh>
    <rPh sb="13" eb="14">
      <t>モト</t>
    </rPh>
    <rPh sb="18" eb="20">
      <t>ヒョウジュン</t>
    </rPh>
    <rPh sb="20" eb="22">
      <t>ゴサ</t>
    </rPh>
    <rPh sb="29" eb="31">
      <t>ジジョウ</t>
    </rPh>
    <phoneticPr fontId="1"/>
  </si>
  <si>
    <t>・ここまではLINEST関数でも求められる（順序は異なる）</t>
    <rPh sb="12" eb="14">
      <t>カンスウ</t>
    </rPh>
    <rPh sb="16" eb="17">
      <t>モト</t>
    </rPh>
    <rPh sb="22" eb="24">
      <t>ジュンジョ</t>
    </rPh>
    <rPh sb="25" eb="26">
      <t>コト</t>
    </rPh>
    <phoneticPr fontId="1"/>
  </si>
  <si>
    <t>←このルートがセルN6の値</t>
    <rPh sb="12" eb="13">
      <t>アタイ</t>
    </rPh>
    <phoneticPr fontId="1"/>
  </si>
  <si>
    <t>　その対角成分が標準誤差（順序は異なるがLINEST関数の標準誤差と等しくなっている）</t>
    <rPh sb="3" eb="5">
      <t>タイカク</t>
    </rPh>
    <rPh sb="5" eb="7">
      <t>セイブン</t>
    </rPh>
    <rPh sb="8" eb="10">
      <t>ヒョウジュン</t>
    </rPh>
    <rPh sb="10" eb="12">
      <t>ゴサ</t>
    </rPh>
    <rPh sb="13" eb="15">
      <t>ジュンジョ</t>
    </rPh>
    <rPh sb="16" eb="17">
      <t>コト</t>
    </rPh>
    <rPh sb="26" eb="28">
      <t>カンスウ</t>
    </rPh>
    <rPh sb="29" eb="31">
      <t>ヒョウジュン</t>
    </rPh>
    <rPh sb="31" eb="33">
      <t>ゴサ</t>
    </rPh>
    <rPh sb="34" eb="35">
      <t>ヒト</t>
    </rPh>
    <phoneticPr fontId="1"/>
  </si>
  <si>
    <t>◆ 計算例</t>
    <rPh sb="2" eb="5">
      <t>ケイサンレイ</t>
    </rPh>
    <phoneticPr fontId="1"/>
  </si>
  <si>
    <t>　セルU4～U7が上の結果</t>
    <rPh sb="9" eb="10">
      <t>ウエ</t>
    </rPh>
    <rPh sb="11" eb="13">
      <t>ケッカ</t>
    </rPh>
    <phoneticPr fontId="1"/>
  </si>
  <si>
    <t>　セルU15が上の結果</t>
    <rPh sb="7" eb="8">
      <t>ウエ</t>
    </rPh>
    <rPh sb="9" eb="11">
      <t>ケッカ</t>
    </rPh>
    <phoneticPr fontId="1"/>
  </si>
  <si>
    <t>　セルT25～W28が上の結果</t>
    <rPh sb="11" eb="12">
      <t>ウエ</t>
    </rPh>
    <rPh sb="13" eb="15">
      <t>ケッカ</t>
    </rPh>
    <phoneticPr fontId="1"/>
  </si>
  <si>
    <t>③ セルR5に「=STDEV.P(係数の検定!D4:D53)」と入力する</t>
    <rPh sb="32" eb="34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</si>
</sst>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"/>
    <numFmt numFmtId="178" formatCode="0.0"/>
    <numFmt numFmtId="179" formatCode="0.0000000000000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vertAlign val="superscript"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2" xfId="0" applyBorder="1">
      <alignment vertical="center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0" fontId="0" fillId="0" borderId="1" xfId="0" applyBorder="1">
      <alignment vertical="center"/>
    </xf>
    <xf numFmtId="177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3" borderId="1" xfId="0" applyFill="1" applyBorder="1">
      <alignment vertical="center"/>
    </xf>
    <xf numFmtId="0" fontId="3" fillId="4" borderId="2" xfId="0" applyFont="1" applyFill="1" applyBorder="1" applyAlignment="1">
      <alignment horizontal="left" vertical="center"/>
    </xf>
    <xf numFmtId="178" fontId="0" fillId="0" borderId="2" xfId="0" applyNumberFormat="1" applyBorder="1">
      <alignment vertical="center"/>
    </xf>
    <xf numFmtId="2" fontId="0" fillId="0" borderId="0" xfId="0" applyNumberForma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7" fontId="0" fillId="0" borderId="3" xfId="0" applyNumberFormat="1" applyBorder="1">
      <alignment vertical="center"/>
    </xf>
    <xf numFmtId="0" fontId="3" fillId="4" borderId="1" xfId="0" applyFont="1" applyFill="1" applyBorder="1" applyAlignment="1">
      <alignment horizontal="centerContinuous"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2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177" fontId="0" fillId="0" borderId="2" xfId="0" applyNumberFormat="1" applyBorder="1">
      <alignment vertical="center"/>
    </xf>
    <xf numFmtId="176" fontId="0" fillId="0" borderId="0" xfId="1" applyNumberFormat="1" applyFont="1">
      <alignment vertical="center"/>
    </xf>
    <xf numFmtId="176" fontId="0" fillId="0" borderId="2" xfId="1" applyNumberFormat="1" applyFont="1" applyBorder="1">
      <alignment vertical="center"/>
    </xf>
    <xf numFmtId="0" fontId="0" fillId="2" borderId="2" xfId="0" applyFill="1" applyBorder="1" applyAlignment="1">
      <alignment horizontal="centerContinuous" vertical="center"/>
    </xf>
    <xf numFmtId="176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3" fillId="2" borderId="2" xfId="0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0" fillId="0" borderId="1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114301</xdr:colOff>
      <xdr:row>5</xdr:row>
      <xdr:rowOff>23813</xdr:rowOff>
    </xdr:from>
    <xdr:to>
      <xdr:col>17</xdr:col>
      <xdr:colOff>1876426</xdr:colOff>
      <xdr:row>6</xdr:row>
      <xdr:rowOff>186946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4322C7-73C3-F66B-6573-8A373CD2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3276" y="1143001"/>
          <a:ext cx="1762125" cy="406020"/>
        </a:xfrm>
        <a:prstGeom prst="rect">
          <a:avLst/>
        </a:prstGeom>
      </xdr:spPr>
    </xdr:pic>
    <xdr:clientData/>
  </xdr:twoCellAnchor>
  <xdr:twoCellAnchor editAs="oneCell">
    <xdr:from>
      <xdr:col>17</xdr:col>
      <xdr:colOff>138112</xdr:colOff>
      <xdr:row>16</xdr:row>
      <xdr:rowOff>33337</xdr:rowOff>
    </xdr:from>
    <xdr:to>
      <xdr:col>17</xdr:col>
      <xdr:colOff>1838325</xdr:colOff>
      <xdr:row>18</xdr:row>
      <xdr:rowOff>118447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F3CE04-6323-D48B-1412-7A170A7F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7087" y="3633787"/>
          <a:ext cx="1700213" cy="532785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114301</xdr:colOff>
      <xdr:row>24</xdr:row>
      <xdr:rowOff>71439</xdr:rowOff>
    </xdr:from>
    <xdr:to>
      <xdr:col>17</xdr:col>
      <xdr:colOff>2095500</xdr:colOff>
      <xdr:row>26</xdr:row>
      <xdr:rowOff>149746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77395E8-78FB-0E24-940E-E6F4A1132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73276" y="5462589"/>
          <a:ext cx="1981199" cy="525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A5E2-DE78-481A-8015-C99F38208586}">
  <dimension ref="A1:O173"/>
  <sheetViews>
    <sheetView tabSelected="1" workbookViewId="0">
      <selection activeCell="L4" sqref="L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20" customWidth="1"/>
    <col min="12" max="15" width="9" customWidth="1"/>
  </cols>
  <sheetData>
    <row r="1" spans="1:15" x14ac:dyDescent="0.7">
      <c r="A1" s="6" t="s">
        <v>100</v>
      </c>
      <c r="B1" s="11"/>
    </row>
    <row r="3" spans="1:15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K3" s="15"/>
      <c r="L3" s="7" t="s">
        <v>102</v>
      </c>
      <c r="M3" s="7" t="s">
        <v>103</v>
      </c>
      <c r="N3" s="7" t="s">
        <v>101</v>
      </c>
      <c r="O3" s="7" t="s">
        <v>104</v>
      </c>
    </row>
    <row r="4" spans="1:15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14" t="s">
        <v>105</v>
      </c>
      <c r="L4" s="5"/>
      <c r="M4" s="5"/>
      <c r="N4" s="5"/>
      <c r="O4" s="18"/>
    </row>
    <row r="5" spans="1:15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  <c r="K5" s="14" t="s">
        <v>106</v>
      </c>
      <c r="L5" s="5"/>
      <c r="M5" s="5"/>
      <c r="N5" s="5"/>
      <c r="O5" s="18"/>
    </row>
    <row r="6" spans="1:15" ht="19.149999999999999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14" t="s">
        <v>109</v>
      </c>
      <c r="L6" s="5"/>
      <c r="M6" s="5"/>
    </row>
    <row r="7" spans="1:15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K7" s="14" t="s">
        <v>110</v>
      </c>
      <c r="L7" s="5"/>
    </row>
    <row r="8" spans="1:15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16" t="s">
        <v>111</v>
      </c>
      <c r="L8" s="17"/>
      <c r="M8" s="17"/>
      <c r="N8" s="1"/>
      <c r="O8" s="1"/>
    </row>
    <row r="9" spans="1:15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9"/>
      <c r="L9" s="8"/>
    </row>
    <row r="10" spans="1:15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  <c r="K10" s="13" t="s">
        <v>107</v>
      </c>
      <c r="L10" s="4" t="e">
        <f>_xlfn.F.DIST.RT(L7,3,M7)</f>
        <v>#NUM!</v>
      </c>
    </row>
    <row r="11" spans="1:15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</row>
    <row r="12" spans="1:15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  <c r="K12" s="19" t="s">
        <v>108</v>
      </c>
      <c r="L12" s="7" t="s">
        <v>102</v>
      </c>
      <c r="M12" s="7" t="s">
        <v>103</v>
      </c>
      <c r="N12" s="7" t="s">
        <v>101</v>
      </c>
    </row>
    <row r="13" spans="1:15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  <c r="K13" s="19" t="s">
        <v>99</v>
      </c>
      <c r="L13" s="23"/>
      <c r="M13" s="23"/>
      <c r="N13" s="23"/>
    </row>
    <row r="14" spans="1:15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  <c r="K14" s="20" t="s">
        <v>98</v>
      </c>
      <c r="L14" s="1"/>
      <c r="M14" s="1"/>
      <c r="N14" s="1"/>
    </row>
    <row r="15" spans="1:15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</row>
    <row r="16" spans="1:15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</row>
    <row r="17" spans="1:9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</row>
    <row r="18" spans="1:9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</row>
    <row r="19" spans="1:9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</row>
    <row r="20" spans="1:9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</row>
    <row r="21" spans="1:9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9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</row>
    <row r="23" spans="1:9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</row>
    <row r="24" spans="1:9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</row>
    <row r="25" spans="1:9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9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9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9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9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9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9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9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s="1" t="s">
        <v>35</v>
      </c>
      <c r="B53" s="1" t="s">
        <v>95</v>
      </c>
      <c r="C53" s="1" t="s">
        <v>15</v>
      </c>
      <c r="D53" s="1">
        <v>2019</v>
      </c>
      <c r="E53" s="3">
        <v>22000</v>
      </c>
      <c r="F53" s="3">
        <v>3000</v>
      </c>
      <c r="G53" s="1" t="s">
        <v>16</v>
      </c>
      <c r="H53" s="1" t="s">
        <v>96</v>
      </c>
      <c r="I53" s="3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0335-6063-4E7F-97A1-A00EBC44A450}">
  <dimension ref="A1:O173"/>
  <sheetViews>
    <sheetView workbookViewId="0">
      <selection activeCell="L4" sqref="L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20" customWidth="1"/>
    <col min="12" max="15" width="9" customWidth="1"/>
  </cols>
  <sheetData>
    <row r="1" spans="1:15" x14ac:dyDescent="0.7">
      <c r="A1" s="6" t="s">
        <v>100</v>
      </c>
      <c r="B1" s="11"/>
    </row>
    <row r="3" spans="1:15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K3" s="15"/>
      <c r="L3" s="7" t="s">
        <v>102</v>
      </c>
      <c r="M3" s="7" t="s">
        <v>103</v>
      </c>
      <c r="N3" s="7" t="s">
        <v>101</v>
      </c>
      <c r="O3" s="7" t="s">
        <v>104</v>
      </c>
    </row>
    <row r="4" spans="1:15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14" t="s">
        <v>105</v>
      </c>
      <c r="L4" s="5" cm="1">
        <f t="array" ref="L4:O8">LINEST(I4:I53,D4:F53,TRUE,TRUE)</f>
        <v>6.4423289504450337E-2</v>
      </c>
      <c r="M4" s="5">
        <v>-1.9785046351958289E-3</v>
      </c>
      <c r="N4" s="5">
        <v>-7.0003127510288365</v>
      </c>
      <c r="O4" s="18">
        <v>14252.303709666407</v>
      </c>
    </row>
    <row r="5" spans="1:15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  <c r="K5" s="14" t="s">
        <v>106</v>
      </c>
      <c r="L5" s="5">
        <v>1.3096781062780973E-2</v>
      </c>
      <c r="M5" s="5">
        <v>3.4299363632906592E-4</v>
      </c>
      <c r="N5" s="5">
        <v>1.228963968490018</v>
      </c>
      <c r="O5" s="18">
        <v>2485.477289576012</v>
      </c>
    </row>
    <row r="6" spans="1:15" ht="19.149999999999999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14" t="s">
        <v>109</v>
      </c>
      <c r="L6" s="5">
        <v>0.62903094877592736</v>
      </c>
      <c r="M6" s="5">
        <v>72.482121222845095</v>
      </c>
      <c r="N6" t="e">
        <v>#N/A</v>
      </c>
      <c r="O6" t="e">
        <v>#N/A</v>
      </c>
    </row>
    <row r="7" spans="1:15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K7" s="14" t="s">
        <v>110</v>
      </c>
      <c r="L7" s="5">
        <v>25.999854119200805</v>
      </c>
      <c r="M7">
        <v>46</v>
      </c>
      <c r="N7" t="e">
        <v>#N/A</v>
      </c>
      <c r="O7" t="e">
        <v>#N/A</v>
      </c>
    </row>
    <row r="8" spans="1:15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16" t="s">
        <v>111</v>
      </c>
      <c r="L8" s="17">
        <v>409783.01673969231</v>
      </c>
      <c r="M8" s="17">
        <v>241668.26326030769</v>
      </c>
      <c r="N8" s="1" t="e">
        <v>#N/A</v>
      </c>
      <c r="O8" s="1" t="e">
        <v>#N/A</v>
      </c>
    </row>
    <row r="9" spans="1:15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9"/>
      <c r="L9" s="8"/>
    </row>
    <row r="10" spans="1:15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  <c r="K10" s="13" t="s">
        <v>107</v>
      </c>
      <c r="L10" s="4">
        <f>_xlfn.F.DIST.RT(L7,3,M7)</f>
        <v>5.4909154229465563E-10</v>
      </c>
    </row>
    <row r="11" spans="1:15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</row>
    <row r="12" spans="1:15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  <c r="K12" s="19" t="s">
        <v>108</v>
      </c>
      <c r="L12" s="7" t="s">
        <v>102</v>
      </c>
      <c r="M12" s="7" t="s">
        <v>103</v>
      </c>
      <c r="N12" s="7" t="s">
        <v>101</v>
      </c>
    </row>
    <row r="13" spans="1:15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  <c r="K13" s="19" t="s">
        <v>99</v>
      </c>
      <c r="L13" s="23" cm="1">
        <f t="array" ref="L13:N13">L4:N4/L5:N5</f>
        <v>4.91901706195054</v>
      </c>
      <c r="M13" s="23">
        <v>-5.7683421079499686</v>
      </c>
      <c r="N13" s="23">
        <v>-5.6961090239528005</v>
      </c>
    </row>
    <row r="14" spans="1:15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  <c r="K14" s="20" t="s">
        <v>98</v>
      </c>
      <c r="L14" s="1" cm="1">
        <f t="array" ref="L14:N14">_xlfn.T.DIST.2T(ABS(_xlfn.ANCHORARRAY(L13)),M7)</f>
        <v>1.1529481709059744E-5</v>
      </c>
      <c r="M14" s="1">
        <v>6.4330996049211351E-7</v>
      </c>
      <c r="N14" s="1">
        <v>8.2456447773657446E-7</v>
      </c>
    </row>
    <row r="15" spans="1:15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</row>
    <row r="16" spans="1:15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  <c r="K16" s="35" t="s">
        <v>132</v>
      </c>
      <c r="L16" s="4" cm="1">
        <f t="array" ref="L16:N16">_xlfn.ANCHORARRAY(L14)/3</f>
        <v>3.8431605696865815E-6</v>
      </c>
      <c r="M16" s="4">
        <v>2.1443665349737117E-7</v>
      </c>
      <c r="N16" s="4">
        <v>2.7485482591219147E-7</v>
      </c>
    </row>
    <row r="17" spans="1:14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  <c r="K17" s="12"/>
    </row>
    <row r="18" spans="1:14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  <c r="K18" s="36" t="s">
        <v>133</v>
      </c>
      <c r="L18" s="7" t="str" cm="1">
        <f t="array" ref="L18:N18">_xlfn.XLOOKUP(_xlfn.ANCHORARRAY(L19),_xlfn.ANCHORARRAY(L14),L3:N3,,0,1)</f>
        <v>走行</v>
      </c>
      <c r="M18" s="7" t="str">
        <v>年式</v>
      </c>
      <c r="N18" s="7" t="str">
        <v>排気量</v>
      </c>
    </row>
    <row r="19" spans="1:14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  <c r="K19" s="21" t="s">
        <v>98</v>
      </c>
      <c r="L19" cm="1">
        <f t="array" ref="L19:N19">_xlfn._xlws.SORT(_xlfn.ANCHORARRAY(L14),,1,TRUE)</f>
        <v>6.4330996049211351E-7</v>
      </c>
      <c r="M19">
        <v>8.2456447773657446E-7</v>
      </c>
      <c r="N19">
        <v>1.1529481709059744E-5</v>
      </c>
    </row>
    <row r="20" spans="1:14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  <c r="K20" s="20" t="s">
        <v>134</v>
      </c>
      <c r="L20" s="1" cm="1">
        <f t="array" ref="L20:N20">_xlfn.ANCHORARRAY(L19)/(COUNT(_xlfn.ANCHORARRAY(L19))-(COLUMN(_xlfn.ANCHORARRAY(L19))-COLUMN(L19)))</f>
        <v>2.1443665349737117E-7</v>
      </c>
      <c r="M20" s="1">
        <v>4.1228223886828723E-7</v>
      </c>
      <c r="N20" s="1">
        <v>1.1529481709059744E-5</v>
      </c>
    </row>
    <row r="21" spans="1:14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14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  <c r="K22" s="7" t="s">
        <v>135</v>
      </c>
      <c r="L22" s="7" t="s">
        <v>102</v>
      </c>
      <c r="M22" s="7" t="s">
        <v>103</v>
      </c>
      <c r="N22" s="7" t="s">
        <v>101</v>
      </c>
    </row>
    <row r="23" spans="1:14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  <c r="K23" s="45" t="s">
        <v>136</v>
      </c>
      <c r="L23" s="5" cm="1">
        <f t="array" ref="L23:N23">L4:N4-_xlfn.T.INV.2T(0.05,M7)*L5:N5</f>
        <v>3.8060836543167179E-2</v>
      </c>
      <c r="M23" s="5">
        <v>-2.6689150162199772E-3</v>
      </c>
      <c r="N23" s="5">
        <v>-9.4740889144329508</v>
      </c>
    </row>
    <row r="24" spans="1:14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  <c r="K24" s="46" t="s">
        <v>137</v>
      </c>
      <c r="L24" s="37" cm="1">
        <f t="array" ref="L24:N24">L4:N4+_xlfn.T.INV.2T(0.05,M7)*L5:N5</f>
        <v>9.0785742465733496E-2</v>
      </c>
      <c r="M24" s="37">
        <v>-1.2880942541716807E-3</v>
      </c>
      <c r="N24" s="37">
        <v>-4.5265365876247223</v>
      </c>
    </row>
    <row r="25" spans="1:14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14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14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14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14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14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14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14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s="1" t="s">
        <v>35</v>
      </c>
      <c r="B53" s="1" t="s">
        <v>95</v>
      </c>
      <c r="C53" s="1" t="s">
        <v>15</v>
      </c>
      <c r="D53" s="1">
        <v>2019</v>
      </c>
      <c r="E53" s="3">
        <v>22000</v>
      </c>
      <c r="F53" s="3">
        <v>3000</v>
      </c>
      <c r="G53" s="1" t="s">
        <v>16</v>
      </c>
      <c r="H53" s="1" t="s">
        <v>96</v>
      </c>
      <c r="I53" s="3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37D5-BC66-4825-A018-C87FA4AC515F}">
  <dimension ref="A1:T173"/>
  <sheetViews>
    <sheetView workbookViewId="0">
      <selection activeCell="R4" sqref="R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20" customWidth="1"/>
    <col min="12" max="15" width="9" customWidth="1"/>
  </cols>
  <sheetData>
    <row r="1" spans="1:20" x14ac:dyDescent="0.7">
      <c r="A1" s="6" t="s">
        <v>138</v>
      </c>
      <c r="B1" s="11"/>
      <c r="C1" s="40"/>
      <c r="Q1" s="24" t="s">
        <v>116</v>
      </c>
      <c r="R1" s="24"/>
      <c r="S1" s="24"/>
      <c r="T1" s="24"/>
    </row>
    <row r="3" spans="1:20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K3" s="15"/>
      <c r="L3" s="7" t="s">
        <v>102</v>
      </c>
      <c r="M3" s="7" t="s">
        <v>103</v>
      </c>
      <c r="N3" s="7" t="s">
        <v>101</v>
      </c>
      <c r="O3" s="7" t="s">
        <v>104</v>
      </c>
      <c r="Q3" s="25"/>
      <c r="R3" s="26" t="s">
        <v>101</v>
      </c>
      <c r="S3" s="26" t="s">
        <v>103</v>
      </c>
      <c r="T3" s="26" t="s">
        <v>102</v>
      </c>
    </row>
    <row r="4" spans="1:20" x14ac:dyDescent="0.7">
      <c r="A4" t="s">
        <v>8</v>
      </c>
      <c r="B4" t="s">
        <v>9</v>
      </c>
      <c r="C4" t="s">
        <v>10</v>
      </c>
      <c r="D4" s="28" cm="1">
        <f t="array" ref="D4:F53">STANDARDIZE(係数の検定!D4:F53,R4:T4,R5:T5)</f>
        <v>0.14019319997053253</v>
      </c>
      <c r="E4" s="38">
        <v>4.77020414243184E-2</v>
      </c>
      <c r="F4" s="38">
        <v>0.92961499524682101</v>
      </c>
      <c r="G4" t="s">
        <v>11</v>
      </c>
      <c r="H4" t="s">
        <v>12</v>
      </c>
      <c r="I4" s="2">
        <v>160</v>
      </c>
      <c r="K4" s="14" t="s">
        <v>105</v>
      </c>
      <c r="L4" s="5" cm="1">
        <f t="array" ref="L4:O8">LINEST(I4:I53,D4:F53,TRUE,TRUE)</f>
        <v>50.645202810387104</v>
      </c>
      <c r="M4" s="5">
        <v>-64.703042862480459</v>
      </c>
      <c r="N4" s="5">
        <v>-63.914657224459674</v>
      </c>
      <c r="O4" s="18">
        <v>156.8799999999998</v>
      </c>
      <c r="Q4" s="21" t="s">
        <v>114</v>
      </c>
      <c r="R4" s="22">
        <f>AVERAGE(係数の検定!D4:D53)</f>
        <v>2014.72</v>
      </c>
      <c r="S4" s="22">
        <f>AVERAGE(係数の検定!E4:E53)</f>
        <v>53440</v>
      </c>
      <c r="T4" s="22">
        <f>AVERAGE(係数の検定!F4:F53)</f>
        <v>1769.2</v>
      </c>
    </row>
    <row r="5" spans="1:20" x14ac:dyDescent="0.7">
      <c r="A5" t="s">
        <v>13</v>
      </c>
      <c r="B5" t="s">
        <v>14</v>
      </c>
      <c r="C5" t="s">
        <v>15</v>
      </c>
      <c r="D5" s="28">
        <v>0.35924507492449426</v>
      </c>
      <c r="E5" s="38">
        <v>-0.41097143380951234</v>
      </c>
      <c r="F5" s="38">
        <v>0.29358941010258111</v>
      </c>
      <c r="G5" t="s">
        <v>16</v>
      </c>
      <c r="H5" t="s">
        <v>17</v>
      </c>
      <c r="I5" s="2">
        <v>170</v>
      </c>
      <c r="K5" s="14" t="s">
        <v>106</v>
      </c>
      <c r="L5" s="5">
        <v>10.295797345802406</v>
      </c>
      <c r="M5" s="5">
        <v>11.216921890486754</v>
      </c>
      <c r="N5" s="5">
        <v>11.220757354834879</v>
      </c>
      <c r="O5" s="18">
        <v>10.250519886291828</v>
      </c>
      <c r="Q5" s="20" t="s">
        <v>115</v>
      </c>
      <c r="R5" s="27">
        <f>_xlfn.STDEV.P(係数の検定!D4:D53)</f>
        <v>9.1302573895810806</v>
      </c>
      <c r="S5" s="27">
        <f>_xlfn.STDEV.P(係数の検定!E4:E53)</f>
        <v>32703.002920221257</v>
      </c>
      <c r="T5" s="27">
        <f>_xlfn.STDEV.P(係数の検定!F4:F53)</f>
        <v>786.13189733021261</v>
      </c>
    </row>
    <row r="6" spans="1:20" ht="19.149999999999999" x14ac:dyDescent="0.7">
      <c r="A6" t="s">
        <v>18</v>
      </c>
      <c r="B6" t="s">
        <v>19</v>
      </c>
      <c r="C6" t="s">
        <v>20</v>
      </c>
      <c r="D6" s="28">
        <v>0.46877101240147512</v>
      </c>
      <c r="E6" s="38">
        <v>-1.02253606745462</v>
      </c>
      <c r="F6" s="38">
        <v>-1.4109591580839818</v>
      </c>
      <c r="G6" t="s">
        <v>11</v>
      </c>
      <c r="H6" t="s">
        <v>17</v>
      </c>
      <c r="I6" s="2">
        <v>80</v>
      </c>
      <c r="K6" s="14" t="s">
        <v>109</v>
      </c>
      <c r="L6" s="5">
        <v>0.62903094877592736</v>
      </c>
      <c r="M6" s="5">
        <v>72.482121222845095</v>
      </c>
      <c r="N6" t="e">
        <v>#N/A</v>
      </c>
      <c r="O6" t="e">
        <v>#N/A</v>
      </c>
    </row>
    <row r="7" spans="1:20" x14ac:dyDescent="0.7">
      <c r="A7" t="s">
        <v>21</v>
      </c>
      <c r="B7" t="s">
        <v>22</v>
      </c>
      <c r="C7" t="s">
        <v>10</v>
      </c>
      <c r="D7" s="28">
        <v>0.14019319997053253</v>
      </c>
      <c r="E7" s="38">
        <v>4.77020414243184E-2</v>
      </c>
      <c r="F7" s="38">
        <v>0.92961499524682101</v>
      </c>
      <c r="G7" t="s">
        <v>11</v>
      </c>
      <c r="H7" t="s">
        <v>23</v>
      </c>
      <c r="I7" s="2">
        <v>160</v>
      </c>
      <c r="K7" s="14" t="s">
        <v>110</v>
      </c>
      <c r="L7" s="5">
        <v>25.999854119200801</v>
      </c>
      <c r="M7">
        <v>46</v>
      </c>
      <c r="N7" t="e">
        <v>#N/A</v>
      </c>
      <c r="O7" t="e">
        <v>#N/A</v>
      </c>
      <c r="Q7" s="30" t="s">
        <v>139</v>
      </c>
    </row>
    <row r="8" spans="1:20" x14ac:dyDescent="0.7">
      <c r="A8" t="s">
        <v>13</v>
      </c>
      <c r="B8" t="s">
        <v>24</v>
      </c>
      <c r="C8" t="s">
        <v>15</v>
      </c>
      <c r="D8" s="28">
        <v>0.2497191374475134</v>
      </c>
      <c r="E8" s="38">
        <v>-0.56386259222078927</v>
      </c>
      <c r="F8" s="38">
        <v>0.92961499524682101</v>
      </c>
      <c r="G8" t="s">
        <v>16</v>
      </c>
      <c r="H8" t="s">
        <v>25</v>
      </c>
      <c r="I8" s="2">
        <v>200</v>
      </c>
      <c r="K8" s="16" t="s">
        <v>111</v>
      </c>
      <c r="L8" s="17">
        <v>409783.01673969231</v>
      </c>
      <c r="M8" s="17">
        <v>241668.26326030775</v>
      </c>
      <c r="N8" s="1" t="e">
        <v>#N/A</v>
      </c>
      <c r="O8" s="1" t="e">
        <v>#N/A</v>
      </c>
      <c r="Q8" t="s">
        <v>144</v>
      </c>
    </row>
    <row r="9" spans="1:20" x14ac:dyDescent="0.7">
      <c r="A9" t="s">
        <v>26</v>
      </c>
      <c r="B9" t="s">
        <v>27</v>
      </c>
      <c r="C9" t="s">
        <v>28</v>
      </c>
      <c r="D9" s="28">
        <v>0.46877101240147512</v>
      </c>
      <c r="E9" s="38">
        <v>-0.41097143380951234</v>
      </c>
      <c r="F9" s="38">
        <v>0.92961499524682101</v>
      </c>
      <c r="G9" t="s">
        <v>16</v>
      </c>
      <c r="H9" t="s">
        <v>29</v>
      </c>
      <c r="I9" s="2">
        <v>80</v>
      </c>
      <c r="K9" s="9"/>
      <c r="L9" s="8"/>
      <c r="Q9" t="s">
        <v>145</v>
      </c>
    </row>
    <row r="10" spans="1:20" x14ac:dyDescent="0.7">
      <c r="A10" t="s">
        <v>30</v>
      </c>
      <c r="B10" t="s">
        <v>31</v>
      </c>
      <c r="C10" t="s">
        <v>32</v>
      </c>
      <c r="D10" s="28">
        <v>-5.774207423786434</v>
      </c>
      <c r="E10" s="38">
        <v>0.50637551665814917</v>
      </c>
      <c r="F10" s="38">
        <v>-0.21523105801281084</v>
      </c>
      <c r="G10" t="s">
        <v>33</v>
      </c>
      <c r="H10" t="s">
        <v>34</v>
      </c>
      <c r="I10" s="2">
        <v>550</v>
      </c>
      <c r="K10" s="13" t="s">
        <v>107</v>
      </c>
      <c r="L10" s="4">
        <f>_xlfn.F.DIST.RT(L7,3,M7)</f>
        <v>5.4909154229465945E-10</v>
      </c>
      <c r="Q10" t="s">
        <v>147</v>
      </c>
    </row>
    <row r="11" spans="1:20" x14ac:dyDescent="0.7">
      <c r="A11" t="s">
        <v>35</v>
      </c>
      <c r="B11">
        <v>911</v>
      </c>
      <c r="C11" t="s">
        <v>36</v>
      </c>
      <c r="D11" s="28">
        <v>0.57829694987845603</v>
      </c>
      <c r="E11" s="38">
        <v>-1.1754272258658969</v>
      </c>
      <c r="F11" s="38">
        <v>1.5656405803910609</v>
      </c>
      <c r="G11" t="s">
        <v>16</v>
      </c>
      <c r="H11" t="s">
        <v>37</v>
      </c>
      <c r="I11" s="2">
        <v>450</v>
      </c>
    </row>
    <row r="12" spans="1:20" x14ac:dyDescent="0.7">
      <c r="A12" t="s">
        <v>26</v>
      </c>
      <c r="B12" t="s">
        <v>38</v>
      </c>
      <c r="C12" t="s">
        <v>20</v>
      </c>
      <c r="D12" s="28">
        <v>0.2497191374475134</v>
      </c>
      <c r="E12" s="38">
        <v>-0.71675375063206626</v>
      </c>
      <c r="F12" s="38">
        <v>-0.9784617601858987</v>
      </c>
      <c r="G12" t="s">
        <v>11</v>
      </c>
      <c r="H12" t="s">
        <v>25</v>
      </c>
      <c r="I12" s="2">
        <v>85</v>
      </c>
      <c r="K12" s="19" t="s">
        <v>108</v>
      </c>
      <c r="L12" s="7" t="s">
        <v>102</v>
      </c>
      <c r="M12" s="7" t="s">
        <v>103</v>
      </c>
      <c r="N12" s="7" t="s">
        <v>101</v>
      </c>
      <c r="Q12" s="30" t="s">
        <v>146</v>
      </c>
    </row>
    <row r="13" spans="1:20" x14ac:dyDescent="0.7">
      <c r="A13" t="s">
        <v>13</v>
      </c>
      <c r="B13" t="s">
        <v>39</v>
      </c>
      <c r="C13" t="s">
        <v>36</v>
      </c>
      <c r="D13" s="28">
        <v>0.2497191374475134</v>
      </c>
      <c r="E13" s="38">
        <v>-0.41097143380951234</v>
      </c>
      <c r="F13" s="38">
        <v>0.29358941010258111</v>
      </c>
      <c r="G13" t="s">
        <v>33</v>
      </c>
      <c r="H13" t="s">
        <v>40</v>
      </c>
      <c r="I13" s="2">
        <v>120</v>
      </c>
      <c r="K13" s="19" t="s">
        <v>99</v>
      </c>
      <c r="L13" s="23" cm="1">
        <f t="array" ref="L13:N13">L4:N4/L5:N5</f>
        <v>4.9190170619505391</v>
      </c>
      <c r="M13" s="23">
        <v>-5.7683421079499642</v>
      </c>
      <c r="N13" s="23">
        <v>-5.6961090239527978</v>
      </c>
      <c r="Q13" t="s">
        <v>141</v>
      </c>
    </row>
    <row r="14" spans="1:20" x14ac:dyDescent="0.7">
      <c r="A14" t="s">
        <v>18</v>
      </c>
      <c r="B14" t="s">
        <v>41</v>
      </c>
      <c r="C14" t="s">
        <v>20</v>
      </c>
      <c r="D14" s="28">
        <v>0.14019319997053253</v>
      </c>
      <c r="E14" s="38">
        <v>0.35348435824687224</v>
      </c>
      <c r="F14" s="38">
        <v>-0.46964129207050681</v>
      </c>
      <c r="G14" t="s">
        <v>33</v>
      </c>
      <c r="H14" t="s">
        <v>42</v>
      </c>
      <c r="I14" s="2">
        <v>100</v>
      </c>
      <c r="K14" s="20" t="s">
        <v>98</v>
      </c>
      <c r="L14" s="1" cm="1">
        <f t="array" ref="L14:N14">_xlfn.T.DIST.2T(ABS(_xlfn.ANCHORARRAY(L13)),M7)</f>
        <v>1.1529481709059784E-5</v>
      </c>
      <c r="M14" s="1">
        <v>6.4330996049212516E-7</v>
      </c>
      <c r="N14" s="1">
        <v>8.2456447773658356E-7</v>
      </c>
      <c r="Q14" t="s">
        <v>140</v>
      </c>
    </row>
    <row r="15" spans="1:20" x14ac:dyDescent="0.7">
      <c r="A15" t="s">
        <v>43</v>
      </c>
      <c r="B15" t="s">
        <v>44</v>
      </c>
      <c r="C15" t="s">
        <v>10</v>
      </c>
      <c r="D15" s="28">
        <v>0.46877101240147512</v>
      </c>
      <c r="E15" s="38">
        <v>-0.86964490904334313</v>
      </c>
      <c r="F15" s="38">
        <v>-2.2505129304743785</v>
      </c>
      <c r="H15" t="s">
        <v>17</v>
      </c>
      <c r="I15" s="2">
        <v>300</v>
      </c>
      <c r="Q15" t="s">
        <v>169</v>
      </c>
    </row>
    <row r="16" spans="1:20" x14ac:dyDescent="0.7">
      <c r="A16" t="s">
        <v>45</v>
      </c>
      <c r="B16" t="s">
        <v>46</v>
      </c>
      <c r="C16" t="s">
        <v>15</v>
      </c>
      <c r="D16" s="28">
        <v>0.2497191374475134</v>
      </c>
      <c r="E16" s="38">
        <v>-0.10518911698695853</v>
      </c>
      <c r="F16" s="38">
        <v>0.29358941010258111</v>
      </c>
      <c r="G16" t="s">
        <v>16</v>
      </c>
      <c r="H16" t="s">
        <v>23</v>
      </c>
      <c r="I16" s="2">
        <v>240</v>
      </c>
      <c r="K16" s="35" t="s">
        <v>132</v>
      </c>
      <c r="L16" s="4" cm="1">
        <f t="array" ref="L16:N16">_xlfn.ANCHORARRAY(L14)/3</f>
        <v>3.8431605696865951E-6</v>
      </c>
      <c r="M16" s="4">
        <v>2.1443665349737506E-7</v>
      </c>
      <c r="N16" s="4">
        <v>2.7485482591219454E-7</v>
      </c>
      <c r="Q16" t="s">
        <v>142</v>
      </c>
    </row>
    <row r="17" spans="1:17" x14ac:dyDescent="0.7">
      <c r="A17" t="s">
        <v>13</v>
      </c>
      <c r="B17" t="s">
        <v>47</v>
      </c>
      <c r="C17" t="s">
        <v>20</v>
      </c>
      <c r="D17" s="28">
        <v>3.0667262493551655E-2</v>
      </c>
      <c r="E17" s="38">
        <v>0.35348435824687224</v>
      </c>
      <c r="F17" s="38">
        <v>-0.59684640909935482</v>
      </c>
      <c r="G17" t="s">
        <v>33</v>
      </c>
      <c r="H17" t="s">
        <v>40</v>
      </c>
      <c r="I17" s="2">
        <v>80</v>
      </c>
      <c r="K17" s="12"/>
      <c r="Q17" t="s">
        <v>143</v>
      </c>
    </row>
    <row r="18" spans="1:17" x14ac:dyDescent="0.7">
      <c r="A18" t="s">
        <v>26</v>
      </c>
      <c r="B18" t="s">
        <v>48</v>
      </c>
      <c r="C18" t="s">
        <v>49</v>
      </c>
      <c r="D18" s="28">
        <v>-7.8858674983429217E-2</v>
      </c>
      <c r="E18" s="38">
        <v>0.81215783348070303</v>
      </c>
      <c r="F18" s="38">
        <v>-0.9784617601858987</v>
      </c>
      <c r="G18" t="s">
        <v>11</v>
      </c>
      <c r="H18" t="s">
        <v>29</v>
      </c>
      <c r="I18" s="2">
        <v>28</v>
      </c>
      <c r="K18" s="36" t="s">
        <v>133</v>
      </c>
      <c r="L18" s="7" t="str" cm="1">
        <f t="array" ref="L18:N18">_xlfn.XLOOKUP(_xlfn.ANCHORARRAY(L19),_xlfn.ANCHORARRAY(L14),L3:N3,,0,1)</f>
        <v>走行</v>
      </c>
      <c r="M18" s="7" t="str">
        <v>年式</v>
      </c>
      <c r="N18" s="7" t="str">
        <v>排気量</v>
      </c>
    </row>
    <row r="19" spans="1:17" x14ac:dyDescent="0.7">
      <c r="A19" t="s">
        <v>50</v>
      </c>
      <c r="B19" t="s">
        <v>51</v>
      </c>
      <c r="C19" t="s">
        <v>49</v>
      </c>
      <c r="D19" s="28">
        <v>0.2497191374475134</v>
      </c>
      <c r="E19" s="38">
        <v>4.77020414243184E-2</v>
      </c>
      <c r="F19" s="38">
        <v>-0.59684640909935482</v>
      </c>
      <c r="G19" t="s">
        <v>33</v>
      </c>
      <c r="H19" t="s">
        <v>23</v>
      </c>
      <c r="I19" s="2">
        <v>120</v>
      </c>
      <c r="K19" s="21" t="s">
        <v>98</v>
      </c>
      <c r="L19" cm="1">
        <f t="array" ref="L19:N19">_xlfn._xlws.SORT(_xlfn.ANCHORARRAY(L14),,1,TRUE)</f>
        <v>6.4330996049212516E-7</v>
      </c>
      <c r="M19">
        <v>8.2456447773658356E-7</v>
      </c>
      <c r="N19">
        <v>1.1529481709059784E-5</v>
      </c>
    </row>
    <row r="20" spans="1:17" x14ac:dyDescent="0.7">
      <c r="A20" t="s">
        <v>21</v>
      </c>
      <c r="B20" t="s">
        <v>52</v>
      </c>
      <c r="C20" t="s">
        <v>10</v>
      </c>
      <c r="D20" s="28">
        <v>0.2497191374475134</v>
      </c>
      <c r="E20" s="38">
        <v>-0.41097143380951234</v>
      </c>
      <c r="F20" s="38">
        <v>-0.21523105801281084</v>
      </c>
      <c r="G20" t="s">
        <v>11</v>
      </c>
      <c r="H20" t="s">
        <v>25</v>
      </c>
      <c r="I20" s="2">
        <v>120</v>
      </c>
      <c r="K20" s="20" t="s">
        <v>134</v>
      </c>
      <c r="L20" s="1" cm="1">
        <f t="array" ref="L20:N20">_xlfn.ANCHORARRAY(L19)/(COUNT(_xlfn.ANCHORARRAY(L19))-(COLUMN(_xlfn.ANCHORARRAY(L19))-COLUMN(L19)))</f>
        <v>2.1443665349737506E-7</v>
      </c>
      <c r="M20" s="1">
        <v>4.1228223886829178E-7</v>
      </c>
      <c r="N20" s="1">
        <v>1.1529481709059784E-5</v>
      </c>
    </row>
    <row r="21" spans="1:17" x14ac:dyDescent="0.7">
      <c r="A21" t="s">
        <v>18</v>
      </c>
      <c r="B21" t="s">
        <v>53</v>
      </c>
      <c r="C21" t="s">
        <v>54</v>
      </c>
      <c r="D21" s="28">
        <v>3.0667262493551655E-2</v>
      </c>
      <c r="E21" s="38">
        <v>0.50637551665814917</v>
      </c>
      <c r="F21" s="38">
        <v>-0.72405152612820278</v>
      </c>
      <c r="G21" t="s">
        <v>11</v>
      </c>
      <c r="H21" t="s">
        <v>29</v>
      </c>
      <c r="I21" s="2">
        <v>28</v>
      </c>
    </row>
    <row r="22" spans="1:17" x14ac:dyDescent="0.7">
      <c r="A22" t="s">
        <v>8</v>
      </c>
      <c r="B22" t="s">
        <v>55</v>
      </c>
      <c r="C22" t="s">
        <v>54</v>
      </c>
      <c r="D22" s="28">
        <v>0.14019319997053253</v>
      </c>
      <c r="E22" s="38">
        <v>-0.10518911698695853</v>
      </c>
      <c r="F22" s="38">
        <v>-0.21523105801281084</v>
      </c>
      <c r="G22" t="s">
        <v>11</v>
      </c>
      <c r="H22" t="s">
        <v>56</v>
      </c>
      <c r="I22" s="2">
        <v>150</v>
      </c>
      <c r="K22" s="7" t="s">
        <v>135</v>
      </c>
      <c r="L22" s="7" t="s">
        <v>102</v>
      </c>
      <c r="M22" s="7" t="s">
        <v>103</v>
      </c>
      <c r="N22" s="7" t="s">
        <v>101</v>
      </c>
    </row>
    <row r="23" spans="1:17" x14ac:dyDescent="0.7">
      <c r="A23" t="s">
        <v>50</v>
      </c>
      <c r="B23" t="s">
        <v>57</v>
      </c>
      <c r="C23" t="s">
        <v>54</v>
      </c>
      <c r="D23" s="28">
        <v>0.35924507492449426</v>
      </c>
      <c r="E23" s="38">
        <v>-0.9002231407255985</v>
      </c>
      <c r="F23" s="38">
        <v>-1.4109591580839818</v>
      </c>
      <c r="G23" t="s">
        <v>11</v>
      </c>
      <c r="H23" t="s">
        <v>17</v>
      </c>
      <c r="I23" s="2">
        <v>76</v>
      </c>
      <c r="K23" s="45" t="s">
        <v>136</v>
      </c>
      <c r="L23" s="5" cm="1">
        <f t="array" ref="L23:N23">L4:N4-_xlfn.T.INV.2T(0.05,M7)*L5:N5</f>
        <v>29.920837645655094</v>
      </c>
      <c r="M23" s="5">
        <v>-87.281535569264264</v>
      </c>
      <c r="N23" s="5">
        <v>-86.500870320549623</v>
      </c>
    </row>
    <row r="24" spans="1:17" x14ac:dyDescent="0.7">
      <c r="A24" t="s">
        <v>26</v>
      </c>
      <c r="B24" t="s">
        <v>58</v>
      </c>
      <c r="C24" t="s">
        <v>59</v>
      </c>
      <c r="D24" s="28">
        <v>0.2497191374475134</v>
      </c>
      <c r="E24" s="38">
        <v>0.20059319983559531</v>
      </c>
      <c r="F24" s="38">
        <v>0.29358941010258111</v>
      </c>
      <c r="G24" t="s">
        <v>11</v>
      </c>
      <c r="H24" t="s">
        <v>34</v>
      </c>
      <c r="I24" s="2">
        <v>170</v>
      </c>
      <c r="K24" s="46" t="s">
        <v>137</v>
      </c>
      <c r="L24" s="37" cm="1">
        <f t="array" ref="L24:N24">L4:N4+_xlfn.T.INV.2T(0.05,M7)*L5:N5</f>
        <v>71.369567975119111</v>
      </c>
      <c r="M24" s="37">
        <v>-42.12455015569666</v>
      </c>
      <c r="N24" s="37">
        <v>-41.328444128369725</v>
      </c>
    </row>
    <row r="25" spans="1:17" x14ac:dyDescent="0.7">
      <c r="A25" t="s">
        <v>35</v>
      </c>
      <c r="B25">
        <v>911</v>
      </c>
      <c r="C25" t="s">
        <v>36</v>
      </c>
      <c r="D25" s="28">
        <v>-3.2551108618158744</v>
      </c>
      <c r="E25" s="38">
        <v>0.81215783348070303</v>
      </c>
      <c r="F25" s="38">
        <v>1.8200508144487568</v>
      </c>
      <c r="G25" t="s">
        <v>33</v>
      </c>
      <c r="H25" t="s">
        <v>23</v>
      </c>
      <c r="I25" s="2">
        <v>300</v>
      </c>
    </row>
    <row r="26" spans="1:17" x14ac:dyDescent="0.7">
      <c r="A26" t="s">
        <v>50</v>
      </c>
      <c r="B26" t="s">
        <v>60</v>
      </c>
      <c r="C26" t="s">
        <v>61</v>
      </c>
      <c r="D26" s="28">
        <v>-0.51696242489135269</v>
      </c>
      <c r="E26" s="38">
        <v>2.0352871007709186</v>
      </c>
      <c r="F26" s="38">
        <v>-0.59684640909935482</v>
      </c>
      <c r="G26" t="s">
        <v>11</v>
      </c>
      <c r="H26" t="s">
        <v>29</v>
      </c>
      <c r="I26" s="2">
        <v>25</v>
      </c>
    </row>
    <row r="27" spans="1:17" x14ac:dyDescent="0.7">
      <c r="A27" t="s">
        <v>21</v>
      </c>
      <c r="B27" t="s">
        <v>62</v>
      </c>
      <c r="C27" t="s">
        <v>10</v>
      </c>
      <c r="D27" s="28">
        <v>0.14019319997053253</v>
      </c>
      <c r="E27" s="38">
        <v>0.50637551665814917</v>
      </c>
      <c r="F27" s="38">
        <v>-0.21523105801281084</v>
      </c>
      <c r="G27" t="s">
        <v>11</v>
      </c>
      <c r="H27" t="s">
        <v>42</v>
      </c>
      <c r="I27" s="2">
        <v>100</v>
      </c>
    </row>
    <row r="28" spans="1:17" x14ac:dyDescent="0.7">
      <c r="A28" t="s">
        <v>26</v>
      </c>
      <c r="B28" t="s">
        <v>63</v>
      </c>
      <c r="C28" t="s">
        <v>20</v>
      </c>
      <c r="D28" s="28">
        <v>0.35924507492449426</v>
      </c>
      <c r="E28" s="38">
        <v>-0.9002231407255985</v>
      </c>
      <c r="F28" s="38">
        <v>-1.4109591580839818</v>
      </c>
      <c r="G28" t="s">
        <v>11</v>
      </c>
      <c r="H28" t="s">
        <v>34</v>
      </c>
      <c r="I28" s="2">
        <v>75</v>
      </c>
    </row>
    <row r="29" spans="1:17" x14ac:dyDescent="0.7">
      <c r="A29" t="s">
        <v>64</v>
      </c>
      <c r="B29" t="s">
        <v>65</v>
      </c>
      <c r="C29" t="s">
        <v>10</v>
      </c>
      <c r="D29" s="28">
        <v>0.46877101240147512</v>
      </c>
      <c r="E29" s="38">
        <v>-0.777910213996577</v>
      </c>
      <c r="F29" s="38">
        <v>0.29358941010258111</v>
      </c>
      <c r="G29" t="s">
        <v>16</v>
      </c>
      <c r="H29" t="s">
        <v>17</v>
      </c>
      <c r="I29" s="2">
        <v>270</v>
      </c>
    </row>
    <row r="30" spans="1:17" x14ac:dyDescent="0.7">
      <c r="A30" t="s">
        <v>26</v>
      </c>
      <c r="B30" t="s">
        <v>66</v>
      </c>
      <c r="C30" t="s">
        <v>61</v>
      </c>
      <c r="D30" s="28">
        <v>-0.18838461246041008</v>
      </c>
      <c r="E30" s="38">
        <v>1.1179401503032569</v>
      </c>
      <c r="F30" s="38">
        <v>3.917917604488512E-2</v>
      </c>
      <c r="G30" t="s">
        <v>11</v>
      </c>
      <c r="H30" t="s">
        <v>29</v>
      </c>
      <c r="I30" s="2">
        <v>35</v>
      </c>
    </row>
    <row r="31" spans="1:17" x14ac:dyDescent="0.7">
      <c r="A31" t="s">
        <v>50</v>
      </c>
      <c r="B31" t="s">
        <v>67</v>
      </c>
      <c r="C31" t="s">
        <v>49</v>
      </c>
      <c r="D31" s="28">
        <v>0.35924507492449426</v>
      </c>
      <c r="E31" s="38">
        <v>-0.41097143380951234</v>
      </c>
      <c r="F31" s="38">
        <v>-0.3424361750416588</v>
      </c>
      <c r="G31" t="s">
        <v>11</v>
      </c>
      <c r="H31" t="s">
        <v>17</v>
      </c>
      <c r="I31" s="2">
        <v>160</v>
      </c>
    </row>
    <row r="32" spans="1:17" x14ac:dyDescent="0.7">
      <c r="A32" t="s">
        <v>21</v>
      </c>
      <c r="B32" t="s">
        <v>68</v>
      </c>
      <c r="C32" t="s">
        <v>36</v>
      </c>
      <c r="D32" s="28">
        <v>0.14019319997053253</v>
      </c>
      <c r="E32" s="38">
        <v>0.20059319983559531</v>
      </c>
      <c r="F32" s="38">
        <v>2.4560763995929968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 s="28">
        <v>0.35924507492449426</v>
      </c>
      <c r="E33" s="38">
        <v>-0.96137960409010925</v>
      </c>
      <c r="F33" s="38">
        <v>-1.4109591580839818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 s="28">
        <v>0.35924507492449426</v>
      </c>
      <c r="E34" s="38">
        <v>-0.5332843605385339</v>
      </c>
      <c r="F34" s="38">
        <v>0.92961499524682101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 s="28">
        <v>0.2497191374475134</v>
      </c>
      <c r="E35" s="38">
        <v>-0.16634558035146929</v>
      </c>
      <c r="F35" s="38">
        <v>-0.59684640909935482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 s="28">
        <v>-0.73601429984531441</v>
      </c>
      <c r="E36" s="38">
        <v>2.9526340512385798</v>
      </c>
      <c r="F36" s="38">
        <v>-0.59684640909935482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 s="28">
        <v>0.46877101240147512</v>
      </c>
      <c r="E37" s="38">
        <v>-0.71675375063206626</v>
      </c>
      <c r="F37" s="38">
        <v>2.2016661655353009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 s="28">
        <v>0.2497191374475134</v>
      </c>
      <c r="E38" s="38">
        <v>-0.41097143380951234</v>
      </c>
      <c r="F38" s="38">
        <v>0.29358941010258111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 s="28">
        <v>0.14019319997053253</v>
      </c>
      <c r="E39" s="38">
        <v>0.20059319983559531</v>
      </c>
      <c r="F39" s="38">
        <v>0.92961499524682101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 s="28">
        <v>0.46877101240147512</v>
      </c>
      <c r="E40" s="38">
        <v>-1.0836925308191308</v>
      </c>
      <c r="F40" s="38">
        <v>-1.4109591580839818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 s="28">
        <v>0.14019319997053253</v>
      </c>
      <c r="E41" s="38">
        <v>0.50637551665814917</v>
      </c>
      <c r="F41" s="38">
        <v>-0.21523105801281084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 s="28">
        <v>-0.29791054993739097</v>
      </c>
      <c r="E42" s="38">
        <v>1.4237224671258106</v>
      </c>
      <c r="F42" s="38">
        <v>0.29358941010258111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 s="28">
        <v>0.57829694987845603</v>
      </c>
      <c r="E43" s="38">
        <v>-1.02253606745462</v>
      </c>
      <c r="F43" s="38">
        <v>3.917917604488512E-2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 s="28">
        <v>0.14019319997053253</v>
      </c>
      <c r="E44" s="38">
        <v>0.13943673647108457</v>
      </c>
      <c r="F44" s="38">
        <v>0.29358941010258111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 s="28">
        <v>0.46877101240147512</v>
      </c>
      <c r="E45" s="38">
        <v>-0.71675375063206626</v>
      </c>
      <c r="F45" s="38">
        <v>0.29358941010258111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 s="28">
        <v>0.2497191374475134</v>
      </c>
      <c r="E46" s="38">
        <v>-0.41097143380951234</v>
      </c>
      <c r="F46" s="38">
        <v>-0.21523105801281084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 s="28">
        <v>0.2497191374475134</v>
      </c>
      <c r="E47" s="38">
        <v>-0.86964490904334313</v>
      </c>
      <c r="F47" s="38">
        <v>-1.4109591580839818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 s="28">
        <v>0.2497191374475134</v>
      </c>
      <c r="E48" s="38">
        <v>-0.10518911698695853</v>
      </c>
      <c r="F48" s="38">
        <v>3.917917604488512E-2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 s="28">
        <v>-0.84554023732229533</v>
      </c>
      <c r="E49" s="38">
        <v>3.8699810017062415</v>
      </c>
      <c r="F49" s="38">
        <v>-0.72405152612820278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 s="28">
        <v>0.2497191374475134</v>
      </c>
      <c r="E50" s="38">
        <v>-0.25808027539823547</v>
      </c>
      <c r="F50" s="38">
        <v>3.917917604488512E-2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 s="28">
        <v>-0.29791054993739097</v>
      </c>
      <c r="E51" s="38">
        <v>1.4237224671258106</v>
      </c>
      <c r="F51" s="38">
        <v>-0.3424361750416588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 s="28">
        <v>0.35924507492449426</v>
      </c>
      <c r="E52" s="38">
        <v>-0.6555972872675554</v>
      </c>
      <c r="F52" s="38">
        <v>1.5656405803910609</v>
      </c>
      <c r="G52" t="s">
        <v>16</v>
      </c>
      <c r="H52" t="s">
        <v>77</v>
      </c>
      <c r="I52" s="2">
        <v>360</v>
      </c>
    </row>
    <row r="53" spans="1:9" x14ac:dyDescent="0.7">
      <c r="A53" s="1" t="s">
        <v>35</v>
      </c>
      <c r="B53" s="1" t="s">
        <v>95</v>
      </c>
      <c r="C53" s="1" t="s">
        <v>15</v>
      </c>
      <c r="D53" s="8">
        <v>0.46877101240147512</v>
      </c>
      <c r="E53" s="39">
        <v>-0.96137960409010925</v>
      </c>
      <c r="F53" s="39">
        <v>1.5656405803910609</v>
      </c>
      <c r="G53" s="1" t="s">
        <v>16</v>
      </c>
      <c r="H53" s="1" t="s">
        <v>96</v>
      </c>
      <c r="I53" s="3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6086-6427-4837-939C-4F2556E9FD52}">
  <dimension ref="A1:P173"/>
  <sheetViews>
    <sheetView workbookViewId="0">
      <selection activeCell="L4" sqref="L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10.4375" customWidth="1"/>
    <col min="12" max="14" width="9" customWidth="1"/>
  </cols>
  <sheetData>
    <row r="1" spans="1:16" x14ac:dyDescent="0.7">
      <c r="A1" s="6" t="s">
        <v>100</v>
      </c>
      <c r="B1" s="11"/>
      <c r="K1" s="24" t="s">
        <v>117</v>
      </c>
      <c r="L1" s="32"/>
      <c r="M1" s="32"/>
      <c r="N1" s="32"/>
    </row>
    <row r="3" spans="1:16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K3" s="7" t="s">
        <v>112</v>
      </c>
      <c r="L3" s="7" t="s">
        <v>101</v>
      </c>
      <c r="M3" s="7" t="s">
        <v>103</v>
      </c>
      <c r="N3" s="7" t="s">
        <v>102</v>
      </c>
      <c r="P3" s="30" t="s">
        <v>123</v>
      </c>
    </row>
    <row r="4" spans="1:16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31" t="s">
        <v>101</v>
      </c>
      <c r="L4">
        <v>1</v>
      </c>
      <c r="M4">
        <f>CORREL(D4:D53,E4:E53)</f>
        <v>-0.40000692050093134</v>
      </c>
      <c r="N4">
        <f>CORREL(D4:D53,F4:F53)</f>
        <v>-5.458993722519602E-2</v>
      </c>
      <c r="P4" t="s">
        <v>119</v>
      </c>
    </row>
    <row r="5" spans="1:16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  <c r="K5" s="31" t="s">
        <v>103</v>
      </c>
      <c r="L5">
        <f>M4</f>
        <v>-0.40000692050093134</v>
      </c>
      <c r="M5">
        <v>1</v>
      </c>
      <c r="N5">
        <f>CORREL(E4:E53,F4:F53)</f>
        <v>-4.7938622778592503E-2</v>
      </c>
      <c r="P5" t="s">
        <v>126</v>
      </c>
    </row>
    <row r="6" spans="1:16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33" t="s">
        <v>102</v>
      </c>
      <c r="L6" s="1">
        <f>N4</f>
        <v>-5.458993722519602E-2</v>
      </c>
      <c r="M6" s="1">
        <f>N5</f>
        <v>-4.7938622778592503E-2</v>
      </c>
      <c r="N6" s="1">
        <v>1</v>
      </c>
      <c r="P6" t="s">
        <v>127</v>
      </c>
    </row>
    <row r="7" spans="1:16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P7" t="s">
        <v>128</v>
      </c>
    </row>
    <row r="8" spans="1:16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7" t="s">
        <v>118</v>
      </c>
      <c r="L8" s="7" t="s">
        <v>101</v>
      </c>
      <c r="M8" s="7" t="s">
        <v>103</v>
      </c>
      <c r="N8" s="7" t="s">
        <v>102</v>
      </c>
      <c r="P8" t="s">
        <v>120</v>
      </c>
    </row>
    <row r="9" spans="1:16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31" t="s">
        <v>101</v>
      </c>
      <c r="L9" s="30" cm="1">
        <f t="array" ref="L9:N11">MINVERSE(L4:N6)</f>
        <v>1.1982641245907795</v>
      </c>
      <c r="M9">
        <v>0.48356103659165339</v>
      </c>
      <c r="N9">
        <v>8.8594413464207558E-2</v>
      </c>
      <c r="P9" t="s">
        <v>121</v>
      </c>
    </row>
    <row r="10" spans="1:16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  <c r="K10" s="31" t="s">
        <v>103</v>
      </c>
      <c r="L10">
        <v>0.48356103659165334</v>
      </c>
      <c r="M10" s="30">
        <v>1.1974450864987674</v>
      </c>
      <c r="N10">
        <v>8.380143493183255E-2</v>
      </c>
      <c r="P10" t="s">
        <v>122</v>
      </c>
    </row>
    <row r="11" spans="1:16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  <c r="K11" s="33" t="s">
        <v>102</v>
      </c>
      <c r="L11" s="1">
        <v>8.8594413464207544E-2</v>
      </c>
      <c r="M11" s="1">
        <v>8.380143493183255E-2</v>
      </c>
      <c r="N11" s="34">
        <v>1.0088536888470161</v>
      </c>
    </row>
    <row r="12" spans="1:16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  <c r="P12" s="30" t="s">
        <v>124</v>
      </c>
    </row>
    <row r="13" spans="1:16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  <c r="P13" t="s">
        <v>125</v>
      </c>
    </row>
    <row r="14" spans="1:16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</row>
    <row r="15" spans="1:16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  <c r="P15" s="30" t="s">
        <v>129</v>
      </c>
    </row>
    <row r="16" spans="1:16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  <c r="K16" s="12"/>
      <c r="P16" t="s">
        <v>131</v>
      </c>
    </row>
    <row r="17" spans="1:16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  <c r="K17" s="12"/>
      <c r="P17" t="s">
        <v>130</v>
      </c>
    </row>
    <row r="18" spans="1:16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  <c r="K18" s="12"/>
    </row>
    <row r="19" spans="1:16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  <c r="K19" s="12"/>
    </row>
    <row r="20" spans="1:16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</row>
    <row r="21" spans="1:16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16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</row>
    <row r="23" spans="1:16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</row>
    <row r="24" spans="1:16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</row>
    <row r="25" spans="1:16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16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16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16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16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16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16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16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s="1" t="s">
        <v>35</v>
      </c>
      <c r="B53" s="1" t="s">
        <v>95</v>
      </c>
      <c r="C53" s="1" t="s">
        <v>15</v>
      </c>
      <c r="D53" s="1">
        <v>2019</v>
      </c>
      <c r="E53" s="3">
        <v>22000</v>
      </c>
      <c r="F53" s="3">
        <v>3000</v>
      </c>
      <c r="G53" s="1" t="s">
        <v>16</v>
      </c>
      <c r="H53" s="1" t="s">
        <v>96</v>
      </c>
      <c r="I53" s="3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015B-A697-429A-8F6D-46EC0D99698E}">
  <dimension ref="A1:W173"/>
  <sheetViews>
    <sheetView topLeftCell="L1" workbookViewId="0">
      <selection activeCell="U4" sqref="U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7" width="11.1875" customWidth="1"/>
    <col min="9" max="9" width="12.5" customWidth="1"/>
    <col min="10" max="10" width="14.6875" customWidth="1"/>
    <col min="12" max="12" width="20" customWidth="1"/>
    <col min="13" max="16" width="9" customWidth="1"/>
    <col min="18" max="18" width="66.375" customWidth="1"/>
    <col min="19" max="19" width="9" customWidth="1"/>
    <col min="20" max="23" width="11.25" customWidth="1"/>
    <col min="24" max="25" width="9.0625" customWidth="1"/>
  </cols>
  <sheetData>
    <row r="1" spans="1:22" x14ac:dyDescent="0.7">
      <c r="A1" s="6" t="s">
        <v>100</v>
      </c>
      <c r="B1" s="11"/>
      <c r="R1" s="30" t="s">
        <v>148</v>
      </c>
      <c r="T1" s="30" t="s">
        <v>165</v>
      </c>
    </row>
    <row r="3" spans="1:22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/>
      <c r="H3" s="10" t="s">
        <v>5</v>
      </c>
      <c r="I3" s="10" t="s">
        <v>6</v>
      </c>
      <c r="J3" s="10" t="s">
        <v>7</v>
      </c>
      <c r="L3" s="15"/>
      <c r="M3" s="7" t="s">
        <v>102</v>
      </c>
      <c r="N3" s="7" t="s">
        <v>103</v>
      </c>
      <c r="O3" s="7" t="s">
        <v>101</v>
      </c>
      <c r="P3" s="7" t="s">
        <v>104</v>
      </c>
      <c r="R3" s="30" t="s">
        <v>156</v>
      </c>
      <c r="T3" s="25"/>
      <c r="U3" s="26" t="s">
        <v>154</v>
      </c>
    </row>
    <row r="4" spans="1:22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s="2">
        <v>1</v>
      </c>
      <c r="H4" t="s">
        <v>11</v>
      </c>
      <c r="I4" t="s">
        <v>12</v>
      </c>
      <c r="J4" s="2">
        <v>160</v>
      </c>
      <c r="L4" s="14" t="s">
        <v>105</v>
      </c>
      <c r="M4" s="5" cm="1">
        <f t="array" ref="M4:P8">LINEST(J4:J53,D4:F53,TRUE,TRUE)</f>
        <v>6.4423289504450337E-2</v>
      </c>
      <c r="N4" s="5">
        <v>-1.9785046351958289E-3</v>
      </c>
      <c r="O4" s="5">
        <v>-7.0003127510288365</v>
      </c>
      <c r="P4" s="18">
        <v>14252.303709666407</v>
      </c>
      <c r="R4" t="s">
        <v>149</v>
      </c>
      <c r="T4" s="43" t="s">
        <v>101</v>
      </c>
      <c r="U4" s="5" cm="1">
        <f t="array" ref="U4:U7">MMULT(MMULT(MINVERSE(MMULT(TRANSPOSE(D4:G53),D4:G53)),TRANSPOSE(D4:G53)),J4:J53)</f>
        <v>-7.0003127510361249</v>
      </c>
    </row>
    <row r="5" spans="1:22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s="2">
        <v>1</v>
      </c>
      <c r="H5" t="s">
        <v>16</v>
      </c>
      <c r="I5" t="s">
        <v>17</v>
      </c>
      <c r="J5" s="2">
        <v>170</v>
      </c>
      <c r="L5" s="14" t="s">
        <v>106</v>
      </c>
      <c r="M5" s="5">
        <v>1.3096781062780973E-2</v>
      </c>
      <c r="N5" s="5">
        <v>3.4299363632906592E-4</v>
      </c>
      <c r="O5" s="5">
        <v>1.228963968490018</v>
      </c>
      <c r="P5" s="18">
        <v>2485.477289576012</v>
      </c>
      <c r="R5" t="s">
        <v>150</v>
      </c>
      <c r="T5" s="43" t="s">
        <v>103</v>
      </c>
      <c r="U5" s="5">
        <v>-1.9785046351966352E-3</v>
      </c>
    </row>
    <row r="6" spans="1:22" ht="19.149999999999999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s="2">
        <v>1</v>
      </c>
      <c r="H6" t="s">
        <v>11</v>
      </c>
      <c r="I6" t="s">
        <v>17</v>
      </c>
      <c r="J6" s="2">
        <v>80</v>
      </c>
      <c r="L6" s="14" t="s">
        <v>109</v>
      </c>
      <c r="M6" s="5">
        <v>0.62903094877592736</v>
      </c>
      <c r="N6" s="5">
        <v>72.482121222845095</v>
      </c>
      <c r="O6" t="e">
        <v>#N/A</v>
      </c>
      <c r="P6" t="e">
        <v>#N/A</v>
      </c>
      <c r="T6" s="43" t="s">
        <v>102</v>
      </c>
      <c r="U6" s="5">
        <v>6.4423289504439998E-2</v>
      </c>
    </row>
    <row r="7" spans="1:22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s="2">
        <v>1</v>
      </c>
      <c r="H7" t="s">
        <v>11</v>
      </c>
      <c r="I7" t="s">
        <v>23</v>
      </c>
      <c r="J7" s="2">
        <v>160</v>
      </c>
      <c r="L7" s="14" t="s">
        <v>110</v>
      </c>
      <c r="M7" s="5">
        <v>25.999854119200805</v>
      </c>
      <c r="N7">
        <v>46</v>
      </c>
      <c r="O7" t="e">
        <v>#N/A</v>
      </c>
      <c r="P7" t="e">
        <v>#N/A</v>
      </c>
      <c r="T7" s="44" t="s">
        <v>104</v>
      </c>
      <c r="U7" s="27">
        <v>14252.303709682281</v>
      </c>
    </row>
    <row r="8" spans="1:22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s="2">
        <v>1</v>
      </c>
      <c r="H8" t="s">
        <v>16</v>
      </c>
      <c r="I8" t="s">
        <v>25</v>
      </c>
      <c r="J8" s="2">
        <v>200</v>
      </c>
      <c r="L8" s="16" t="s">
        <v>111</v>
      </c>
      <c r="M8" s="17">
        <v>409783.01673969231</v>
      </c>
      <c r="N8" s="17">
        <v>241668.26326030769</v>
      </c>
      <c r="O8" s="1" t="e">
        <v>#N/A</v>
      </c>
      <c r="P8" s="1" t="e">
        <v>#N/A</v>
      </c>
      <c r="R8" t="s">
        <v>151</v>
      </c>
    </row>
    <row r="9" spans="1:22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s="2">
        <v>1</v>
      </c>
      <c r="H9" t="s">
        <v>16</v>
      </c>
      <c r="I9" t="s">
        <v>29</v>
      </c>
      <c r="J9" s="2">
        <v>80</v>
      </c>
      <c r="L9" s="9"/>
      <c r="M9" s="8"/>
      <c r="R9" t="s">
        <v>152</v>
      </c>
    </row>
    <row r="10" spans="1:22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s="2">
        <v>1</v>
      </c>
      <c r="H10" t="s">
        <v>33</v>
      </c>
      <c r="I10" t="s">
        <v>34</v>
      </c>
      <c r="J10" s="2">
        <v>550</v>
      </c>
      <c r="L10" s="13" t="s">
        <v>107</v>
      </c>
      <c r="M10" s="4">
        <f>_xlfn.F.DIST.RT(M7,3,N7)</f>
        <v>5.4909154229465563E-10</v>
      </c>
      <c r="R10" t="s">
        <v>153</v>
      </c>
    </row>
    <row r="11" spans="1:22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s="2">
        <v>1</v>
      </c>
      <c r="H11" t="s">
        <v>16</v>
      </c>
      <c r="I11" t="s">
        <v>37</v>
      </c>
      <c r="J11" s="2">
        <v>450</v>
      </c>
      <c r="R11" t="s">
        <v>155</v>
      </c>
    </row>
    <row r="12" spans="1:22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s="2">
        <v>1</v>
      </c>
      <c r="H12" t="s">
        <v>11</v>
      </c>
      <c r="I12" t="s">
        <v>25</v>
      </c>
      <c r="J12" s="2">
        <v>85</v>
      </c>
      <c r="L12" s="19" t="s">
        <v>108</v>
      </c>
      <c r="M12" s="7" t="s">
        <v>102</v>
      </c>
      <c r="N12" s="7" t="s">
        <v>103</v>
      </c>
      <c r="O12" s="7" t="s">
        <v>101</v>
      </c>
      <c r="R12" s="30" t="s">
        <v>166</v>
      </c>
    </row>
    <row r="13" spans="1:22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s="2">
        <v>1</v>
      </c>
      <c r="H13" t="s">
        <v>33</v>
      </c>
      <c r="I13" t="s">
        <v>40</v>
      </c>
      <c r="J13" s="2">
        <v>120</v>
      </c>
      <c r="L13" s="19" t="s">
        <v>99</v>
      </c>
      <c r="M13" s="23" cm="1">
        <f t="array" ref="M13:O13">M4:O4/M5:O5</f>
        <v>4.91901706195054</v>
      </c>
      <c r="N13" s="23">
        <v>-5.7683421079499686</v>
      </c>
      <c r="O13" s="23">
        <v>-5.6961090239528005</v>
      </c>
      <c r="R13" t="s">
        <v>162</v>
      </c>
    </row>
    <row r="14" spans="1:22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s="2">
        <v>1</v>
      </c>
      <c r="H14" t="s">
        <v>33</v>
      </c>
      <c r="I14" t="s">
        <v>42</v>
      </c>
      <c r="J14" s="2">
        <v>100</v>
      </c>
      <c r="L14" s="20" t="s">
        <v>98</v>
      </c>
      <c r="M14" s="1" cm="1">
        <f t="array" ref="M14:O14">_xlfn.T.DIST.2T(ABS(_xlfn.ANCHORARRAY(M13)),N7)</f>
        <v>1.1529481709059744E-5</v>
      </c>
      <c r="N14" s="1">
        <v>6.4330996049211351E-7</v>
      </c>
      <c r="O14" s="1">
        <v>8.2456447773657446E-7</v>
      </c>
    </row>
    <row r="15" spans="1:22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G15" s="2">
        <v>1</v>
      </c>
      <c r="I15" t="s">
        <v>17</v>
      </c>
      <c r="J15" s="2">
        <v>300</v>
      </c>
      <c r="R15" s="30" t="s">
        <v>157</v>
      </c>
      <c r="T15" s="47" t="s">
        <v>113</v>
      </c>
      <c r="U15" s="48" cm="1">
        <f t="array" ref="U15">SUMSQ(J4:J53-MMULT(D4:G53,_xlfn.ANCHORARRAY(U4)))/(50-3-1)</f>
        <v>5253.6578969632392</v>
      </c>
      <c r="V15" t="s">
        <v>163</v>
      </c>
    </row>
    <row r="16" spans="1:22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s="2">
        <v>1</v>
      </c>
      <c r="H16" t="s">
        <v>16</v>
      </c>
      <c r="I16" t="s">
        <v>23</v>
      </c>
      <c r="J16" s="2">
        <v>240</v>
      </c>
      <c r="L16" s="12"/>
      <c r="R16" t="s">
        <v>158</v>
      </c>
    </row>
    <row r="17" spans="1:23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s="2">
        <v>1</v>
      </c>
      <c r="H17" t="s">
        <v>33</v>
      </c>
      <c r="I17" t="s">
        <v>40</v>
      </c>
      <c r="J17" s="2">
        <v>80</v>
      </c>
      <c r="L17" s="12"/>
    </row>
    <row r="18" spans="1:23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s="2">
        <v>1</v>
      </c>
      <c r="H18" t="s">
        <v>11</v>
      </c>
      <c r="I18" t="s">
        <v>29</v>
      </c>
      <c r="J18" s="2">
        <v>28</v>
      </c>
      <c r="L18" s="12"/>
    </row>
    <row r="19" spans="1:23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s="2">
        <v>1</v>
      </c>
      <c r="H19" t="s">
        <v>33</v>
      </c>
      <c r="I19" t="s">
        <v>23</v>
      </c>
      <c r="J19" s="2">
        <v>120</v>
      </c>
      <c r="L19" s="12"/>
    </row>
    <row r="20" spans="1:23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s="2">
        <v>1</v>
      </c>
      <c r="H20" t="s">
        <v>11</v>
      </c>
      <c r="I20" t="s">
        <v>25</v>
      </c>
      <c r="J20" s="2">
        <v>120</v>
      </c>
      <c r="R20" t="s">
        <v>159</v>
      </c>
    </row>
    <row r="21" spans="1:23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s="2">
        <v>1</v>
      </c>
      <c r="H21" t="s">
        <v>11</v>
      </c>
      <c r="I21" t="s">
        <v>29</v>
      </c>
      <c r="J21" s="2">
        <v>28</v>
      </c>
      <c r="R21" t="s">
        <v>167</v>
      </c>
    </row>
    <row r="22" spans="1:23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s="2">
        <v>1</v>
      </c>
      <c r="H22" t="s">
        <v>11</v>
      </c>
      <c r="I22" t="s">
        <v>56</v>
      </c>
      <c r="J22" s="2">
        <v>150</v>
      </c>
      <c r="R22" t="s">
        <v>161</v>
      </c>
    </row>
    <row r="23" spans="1:23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s="2">
        <v>1</v>
      </c>
      <c r="H23" t="s">
        <v>11</v>
      </c>
      <c r="I23" t="s">
        <v>17</v>
      </c>
      <c r="J23" s="2">
        <v>76</v>
      </c>
    </row>
    <row r="24" spans="1:23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s="2">
        <v>1</v>
      </c>
      <c r="H24" t="s">
        <v>11</v>
      </c>
      <c r="I24" t="s">
        <v>34</v>
      </c>
      <c r="J24" s="2">
        <v>170</v>
      </c>
      <c r="R24" s="30" t="s">
        <v>160</v>
      </c>
      <c r="T24" s="26" t="s">
        <v>101</v>
      </c>
      <c r="U24" s="26" t="s">
        <v>103</v>
      </c>
      <c r="V24" s="26" t="s">
        <v>102</v>
      </c>
      <c r="W24" s="26" t="s">
        <v>104</v>
      </c>
    </row>
    <row r="25" spans="1:23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s="2">
        <v>1</v>
      </c>
      <c r="H25" t="s">
        <v>33</v>
      </c>
      <c r="I25" t="s">
        <v>23</v>
      </c>
      <c r="J25" s="2">
        <v>300</v>
      </c>
      <c r="T25" s="41" cm="1">
        <f t="array" ref="T25:W28">SQRT(MINVERSE(MMULT(TRANSPOSE(D4:G53),D4:G53))*U15)</f>
        <v>1.2289639684906835</v>
      </c>
      <c r="U25" s="28">
        <v>1.3044763670424878E-2</v>
      </c>
      <c r="V25" s="28">
        <v>3.6013044831097962E-2</v>
      </c>
      <c r="W25" s="28" t="e">
        <v>#NUM!</v>
      </c>
    </row>
    <row r="26" spans="1:23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s="2">
        <v>1</v>
      </c>
      <c r="H26" t="s">
        <v>11</v>
      </c>
      <c r="I26" t="s">
        <v>29</v>
      </c>
      <c r="J26" s="2">
        <v>25</v>
      </c>
      <c r="T26" s="28">
        <v>1.3044763670424377E-2</v>
      </c>
      <c r="U26" s="41">
        <v>3.4299363632910111E-4</v>
      </c>
      <c r="V26" s="28">
        <v>5.8523473480470072E-4</v>
      </c>
      <c r="W26" s="28" t="e">
        <v>#NUM!</v>
      </c>
    </row>
    <row r="27" spans="1:23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s="2">
        <v>1</v>
      </c>
      <c r="H27" t="s">
        <v>11</v>
      </c>
      <c r="I27" t="s">
        <v>42</v>
      </c>
      <c r="J27" s="2">
        <v>100</v>
      </c>
      <c r="T27" s="28">
        <v>3.6013044831105262E-2</v>
      </c>
      <c r="U27" s="28">
        <v>5.8523473480476327E-4</v>
      </c>
      <c r="V27" s="41">
        <v>1.3096781062781081E-2</v>
      </c>
      <c r="W27" s="28" t="e">
        <v>#NUM!</v>
      </c>
    </row>
    <row r="28" spans="1:23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s="2">
        <v>1</v>
      </c>
      <c r="H28" t="s">
        <v>11</v>
      </c>
      <c r="I28" t="s">
        <v>34</v>
      </c>
      <c r="J28" s="2">
        <v>75</v>
      </c>
      <c r="R28" t="s">
        <v>168</v>
      </c>
      <c r="T28" s="28" t="e">
        <v>#NUM!</v>
      </c>
      <c r="U28" s="28" t="e">
        <v>#NUM!</v>
      </c>
      <c r="V28" s="28" t="e">
        <v>#NUM!</v>
      </c>
      <c r="W28" s="42">
        <v>2485.477289577359</v>
      </c>
    </row>
    <row r="29" spans="1:23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s="2">
        <v>1</v>
      </c>
      <c r="H29" t="s">
        <v>16</v>
      </c>
      <c r="I29" t="s">
        <v>17</v>
      </c>
      <c r="J29" s="2">
        <v>270</v>
      </c>
      <c r="R29" t="s">
        <v>164</v>
      </c>
    </row>
    <row r="30" spans="1:23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s="2">
        <v>1</v>
      </c>
      <c r="H30" t="s">
        <v>11</v>
      </c>
      <c r="I30" t="s">
        <v>29</v>
      </c>
      <c r="J30" s="2">
        <v>35</v>
      </c>
    </row>
    <row r="31" spans="1:23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s="2">
        <v>1</v>
      </c>
      <c r="H31" t="s">
        <v>11</v>
      </c>
      <c r="I31" t="s">
        <v>17</v>
      </c>
      <c r="J31" s="2">
        <v>160</v>
      </c>
    </row>
    <row r="32" spans="1:23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s="2">
        <v>1</v>
      </c>
      <c r="H32" t="s">
        <v>33</v>
      </c>
      <c r="I32" t="s">
        <v>34</v>
      </c>
      <c r="J32" s="2">
        <v>250</v>
      </c>
    </row>
    <row r="33" spans="1:20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s="2">
        <v>1</v>
      </c>
      <c r="H33" t="s">
        <v>11</v>
      </c>
      <c r="I33" t="s">
        <v>70</v>
      </c>
      <c r="J33" s="2">
        <v>90</v>
      </c>
      <c r="T33" s="29"/>
    </row>
    <row r="34" spans="1:20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s="2">
        <v>1</v>
      </c>
      <c r="H34" t="s">
        <v>16</v>
      </c>
      <c r="I34" t="s">
        <v>73</v>
      </c>
      <c r="J34" s="2">
        <v>290</v>
      </c>
      <c r="T34" s="29"/>
    </row>
    <row r="35" spans="1:20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s="2">
        <v>1</v>
      </c>
      <c r="H35" t="s">
        <v>11</v>
      </c>
      <c r="I35" t="s">
        <v>75</v>
      </c>
      <c r="J35" s="2">
        <v>150</v>
      </c>
    </row>
    <row r="36" spans="1:20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s="2">
        <v>1</v>
      </c>
      <c r="H36" t="s">
        <v>11</v>
      </c>
      <c r="I36" t="s">
        <v>29</v>
      </c>
      <c r="J36" s="2">
        <v>30</v>
      </c>
    </row>
    <row r="37" spans="1:20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s="2">
        <v>1</v>
      </c>
      <c r="H37" t="s">
        <v>11</v>
      </c>
      <c r="I37" t="s">
        <v>77</v>
      </c>
      <c r="J37" s="2">
        <v>220</v>
      </c>
    </row>
    <row r="38" spans="1:20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s="2">
        <v>1</v>
      </c>
      <c r="H38" t="s">
        <v>33</v>
      </c>
      <c r="I38" t="s">
        <v>40</v>
      </c>
      <c r="J38" s="2">
        <v>120</v>
      </c>
    </row>
    <row r="39" spans="1:20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s="2">
        <v>1</v>
      </c>
      <c r="H39" t="s">
        <v>11</v>
      </c>
      <c r="I39" t="s">
        <v>80</v>
      </c>
      <c r="J39" s="2">
        <v>150</v>
      </c>
    </row>
    <row r="40" spans="1:20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s="2">
        <v>1</v>
      </c>
      <c r="H40" t="s">
        <v>11</v>
      </c>
      <c r="I40" t="s">
        <v>73</v>
      </c>
      <c r="J40" s="2">
        <v>80</v>
      </c>
    </row>
    <row r="41" spans="1:20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s="2">
        <v>1</v>
      </c>
      <c r="H41" t="s">
        <v>11</v>
      </c>
      <c r="I41" t="s">
        <v>42</v>
      </c>
      <c r="J41" s="2">
        <v>100</v>
      </c>
    </row>
    <row r="42" spans="1:20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s="2">
        <v>1</v>
      </c>
      <c r="H42" t="s">
        <v>11</v>
      </c>
      <c r="I42" t="s">
        <v>29</v>
      </c>
      <c r="J42" s="2">
        <v>32</v>
      </c>
    </row>
    <row r="43" spans="1:20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s="2">
        <v>1</v>
      </c>
      <c r="H43" t="s">
        <v>11</v>
      </c>
      <c r="I43" t="s">
        <v>29</v>
      </c>
      <c r="J43" s="2">
        <v>70</v>
      </c>
    </row>
    <row r="44" spans="1:20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s="2">
        <v>1</v>
      </c>
      <c r="H44" t="s">
        <v>16</v>
      </c>
      <c r="I44" t="s">
        <v>40</v>
      </c>
      <c r="J44" s="2">
        <v>240</v>
      </c>
    </row>
    <row r="45" spans="1:20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s="2">
        <v>1</v>
      </c>
      <c r="H45" t="s">
        <v>16</v>
      </c>
      <c r="I45" t="s">
        <v>70</v>
      </c>
      <c r="J45" s="2">
        <v>260</v>
      </c>
    </row>
    <row r="46" spans="1:20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s="2">
        <v>1</v>
      </c>
      <c r="H46" t="s">
        <v>11</v>
      </c>
      <c r="I46" t="s">
        <v>12</v>
      </c>
      <c r="J46" s="2">
        <v>130</v>
      </c>
    </row>
    <row r="47" spans="1:20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s="2">
        <v>1</v>
      </c>
      <c r="H47" t="s">
        <v>11</v>
      </c>
      <c r="I47" t="s">
        <v>40</v>
      </c>
      <c r="J47" s="2">
        <v>85</v>
      </c>
    </row>
    <row r="48" spans="1:20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s="2">
        <v>1</v>
      </c>
      <c r="H48" t="s">
        <v>11</v>
      </c>
      <c r="I48" t="s">
        <v>75</v>
      </c>
      <c r="J48" s="2">
        <v>150</v>
      </c>
    </row>
    <row r="49" spans="1:10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s="2">
        <v>1</v>
      </c>
      <c r="H49" t="s">
        <v>33</v>
      </c>
      <c r="I49" t="s">
        <v>29</v>
      </c>
      <c r="J49" s="2">
        <v>20</v>
      </c>
    </row>
    <row r="50" spans="1:10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s="2">
        <v>1</v>
      </c>
      <c r="H50" t="s">
        <v>11</v>
      </c>
      <c r="I50" t="s">
        <v>92</v>
      </c>
      <c r="J50" s="2">
        <v>180</v>
      </c>
    </row>
    <row r="51" spans="1:10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s="2">
        <v>1</v>
      </c>
      <c r="H51" t="s">
        <v>16</v>
      </c>
      <c r="I51" t="s">
        <v>29</v>
      </c>
      <c r="J51" s="2">
        <v>25</v>
      </c>
    </row>
    <row r="52" spans="1:10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s="2">
        <v>1</v>
      </c>
      <c r="H52" t="s">
        <v>16</v>
      </c>
      <c r="I52" t="s">
        <v>77</v>
      </c>
      <c r="J52" s="2">
        <v>360</v>
      </c>
    </row>
    <row r="53" spans="1:10" x14ac:dyDescent="0.7">
      <c r="A53" t="s">
        <v>35</v>
      </c>
      <c r="B53" t="s">
        <v>95</v>
      </c>
      <c r="C53" t="s">
        <v>15</v>
      </c>
      <c r="D53">
        <v>2019</v>
      </c>
      <c r="E53" s="2">
        <v>22000</v>
      </c>
      <c r="F53" s="2">
        <v>3000</v>
      </c>
      <c r="G53" s="2">
        <v>1</v>
      </c>
      <c r="H53" t="s">
        <v>16</v>
      </c>
      <c r="I53" t="s">
        <v>96</v>
      </c>
      <c r="J53" s="2">
        <v>380</v>
      </c>
    </row>
    <row r="54" spans="1:10" x14ac:dyDescent="0.7">
      <c r="E54" s="2"/>
      <c r="F54" s="2"/>
      <c r="G54" s="2"/>
      <c r="J54" s="2"/>
    </row>
    <row r="55" spans="1:10" x14ac:dyDescent="0.7">
      <c r="E55" s="2"/>
      <c r="F55" s="2"/>
      <c r="G55" s="2"/>
      <c r="J55" s="2"/>
    </row>
    <row r="56" spans="1:10" x14ac:dyDescent="0.7">
      <c r="E56" s="2"/>
      <c r="F56" s="2"/>
      <c r="G56" s="2"/>
      <c r="J56" s="2"/>
    </row>
    <row r="57" spans="1:10" x14ac:dyDescent="0.7">
      <c r="E57" s="2"/>
      <c r="F57" s="2"/>
      <c r="G57" s="2"/>
      <c r="J57" s="2"/>
    </row>
    <row r="58" spans="1:10" x14ac:dyDescent="0.7">
      <c r="E58" s="2"/>
      <c r="F58" s="2"/>
      <c r="G58" s="2"/>
      <c r="J58" s="2"/>
    </row>
    <row r="59" spans="1:10" x14ac:dyDescent="0.7">
      <c r="E59" s="2"/>
      <c r="F59" s="2"/>
      <c r="G59" s="2"/>
      <c r="J59" s="2"/>
    </row>
    <row r="60" spans="1:10" x14ac:dyDescent="0.7">
      <c r="E60" s="2"/>
      <c r="F60" s="2"/>
      <c r="G60" s="2"/>
      <c r="J60" s="2"/>
    </row>
    <row r="61" spans="1:10" x14ac:dyDescent="0.7">
      <c r="E61" s="2"/>
      <c r="F61" s="2"/>
      <c r="G61" s="2"/>
      <c r="J61" s="2"/>
    </row>
    <row r="62" spans="1:10" x14ac:dyDescent="0.7">
      <c r="E62" s="2"/>
      <c r="F62" s="2"/>
      <c r="G62" s="2"/>
      <c r="J62" s="2"/>
    </row>
    <row r="63" spans="1:10" x14ac:dyDescent="0.7">
      <c r="E63" s="2"/>
      <c r="F63" s="2"/>
      <c r="G63" s="2"/>
      <c r="J63" s="2"/>
    </row>
    <row r="64" spans="1:10" x14ac:dyDescent="0.7">
      <c r="E64" s="2"/>
      <c r="F64" s="2"/>
      <c r="G64" s="2"/>
      <c r="J64" s="2"/>
    </row>
    <row r="65" spans="5:10" x14ac:dyDescent="0.7">
      <c r="E65" s="2"/>
      <c r="F65" s="2"/>
      <c r="G65" s="2"/>
      <c r="J65" s="2"/>
    </row>
    <row r="66" spans="5:10" x14ac:dyDescent="0.7">
      <c r="E66" s="2"/>
      <c r="F66" s="2"/>
      <c r="G66" s="2"/>
      <c r="J66" s="2"/>
    </row>
    <row r="67" spans="5:10" x14ac:dyDescent="0.7">
      <c r="E67" s="2"/>
      <c r="F67" s="2"/>
      <c r="G67" s="2"/>
      <c r="J67" s="2"/>
    </row>
    <row r="68" spans="5:10" x14ac:dyDescent="0.7">
      <c r="E68" s="2"/>
      <c r="F68" s="2"/>
      <c r="G68" s="2"/>
      <c r="J68" s="2"/>
    </row>
    <row r="69" spans="5:10" x14ac:dyDescent="0.7">
      <c r="E69" s="2"/>
      <c r="F69" s="2"/>
      <c r="G69" s="2"/>
      <c r="J69" s="2"/>
    </row>
    <row r="70" spans="5:10" x14ac:dyDescent="0.7">
      <c r="E70" s="2"/>
      <c r="F70" s="2"/>
      <c r="G70" s="2"/>
      <c r="J70" s="2"/>
    </row>
    <row r="71" spans="5:10" x14ac:dyDescent="0.7">
      <c r="E71" s="2"/>
      <c r="F71" s="2"/>
      <c r="G71" s="2"/>
      <c r="J71" s="2"/>
    </row>
    <row r="72" spans="5:10" x14ac:dyDescent="0.7">
      <c r="E72" s="2"/>
      <c r="F72" s="2"/>
      <c r="G72" s="2"/>
      <c r="J72" s="2"/>
    </row>
    <row r="73" spans="5:10" x14ac:dyDescent="0.7">
      <c r="E73" s="2"/>
      <c r="F73" s="2"/>
      <c r="G73" s="2"/>
      <c r="J73" s="2"/>
    </row>
    <row r="74" spans="5:10" x14ac:dyDescent="0.7">
      <c r="E74" s="2"/>
      <c r="F74" s="2"/>
      <c r="G74" s="2"/>
      <c r="J74" s="2"/>
    </row>
    <row r="75" spans="5:10" x14ac:dyDescent="0.7">
      <c r="E75" s="2"/>
      <c r="F75" s="2"/>
      <c r="G75" s="2"/>
      <c r="J75" s="2"/>
    </row>
    <row r="76" spans="5:10" x14ac:dyDescent="0.7">
      <c r="E76" s="2"/>
      <c r="F76" s="2"/>
      <c r="G76" s="2"/>
      <c r="J76" s="2"/>
    </row>
    <row r="77" spans="5:10" x14ac:dyDescent="0.7">
      <c r="E77" s="2"/>
      <c r="F77" s="2"/>
      <c r="G77" s="2"/>
      <c r="J77" s="2"/>
    </row>
    <row r="78" spans="5:10" x14ac:dyDescent="0.7">
      <c r="E78" s="2"/>
      <c r="F78" s="2"/>
      <c r="G78" s="2"/>
      <c r="J78" s="2"/>
    </row>
    <row r="79" spans="5:10" x14ac:dyDescent="0.7">
      <c r="E79" s="2"/>
      <c r="F79" s="2"/>
      <c r="G79" s="2"/>
      <c r="J79" s="2"/>
    </row>
    <row r="80" spans="5:10" x14ac:dyDescent="0.7">
      <c r="E80" s="2"/>
      <c r="F80" s="2"/>
      <c r="G80" s="2"/>
      <c r="J80" s="2"/>
    </row>
    <row r="81" spans="5:10" x14ac:dyDescent="0.7">
      <c r="E81" s="2"/>
      <c r="F81" s="2"/>
      <c r="G81" s="2"/>
      <c r="J81" s="2"/>
    </row>
    <row r="82" spans="5:10" x14ac:dyDescent="0.7">
      <c r="E82" s="2"/>
      <c r="F82" s="2"/>
      <c r="G82" s="2"/>
      <c r="J82" s="2"/>
    </row>
    <row r="83" spans="5:10" x14ac:dyDescent="0.7">
      <c r="E83" s="2"/>
      <c r="F83" s="2"/>
      <c r="G83" s="2"/>
      <c r="J83" s="2"/>
    </row>
    <row r="84" spans="5:10" x14ac:dyDescent="0.7">
      <c r="E84" s="2"/>
      <c r="F84" s="2"/>
      <c r="G84" s="2"/>
      <c r="J84" s="2"/>
    </row>
    <row r="85" spans="5:10" x14ac:dyDescent="0.7">
      <c r="E85" s="2"/>
      <c r="F85" s="2"/>
      <c r="G85" s="2"/>
      <c r="J85" s="2"/>
    </row>
    <row r="86" spans="5:10" x14ac:dyDescent="0.7">
      <c r="E86" s="2"/>
      <c r="F86" s="2"/>
      <c r="G86" s="2"/>
      <c r="J86" s="2"/>
    </row>
    <row r="87" spans="5:10" x14ac:dyDescent="0.7">
      <c r="E87" s="2"/>
      <c r="F87" s="2"/>
      <c r="G87" s="2"/>
      <c r="J87" s="2"/>
    </row>
    <row r="88" spans="5:10" x14ac:dyDescent="0.7">
      <c r="E88" s="2"/>
      <c r="F88" s="2"/>
      <c r="G88" s="2"/>
      <c r="J88" s="2"/>
    </row>
    <row r="89" spans="5:10" x14ac:dyDescent="0.7">
      <c r="E89" s="2"/>
      <c r="F89" s="2"/>
      <c r="G89" s="2"/>
      <c r="J89" s="2"/>
    </row>
    <row r="90" spans="5:10" x14ac:dyDescent="0.7">
      <c r="E90" s="2"/>
      <c r="F90" s="2"/>
      <c r="G90" s="2"/>
      <c r="J90" s="2"/>
    </row>
    <row r="91" spans="5:10" x14ac:dyDescent="0.7">
      <c r="E91" s="2"/>
      <c r="F91" s="2"/>
      <c r="G91" s="2"/>
      <c r="J91" s="2"/>
    </row>
    <row r="92" spans="5:10" x14ac:dyDescent="0.7">
      <c r="E92" s="2"/>
      <c r="F92" s="2"/>
      <c r="G92" s="2"/>
      <c r="J92" s="2"/>
    </row>
    <row r="93" spans="5:10" x14ac:dyDescent="0.7">
      <c r="E93" s="2"/>
      <c r="F93" s="2"/>
      <c r="G93" s="2"/>
      <c r="J93" s="2"/>
    </row>
    <row r="94" spans="5:10" x14ac:dyDescent="0.7">
      <c r="E94" s="2"/>
      <c r="F94" s="2"/>
      <c r="G94" s="2"/>
      <c r="J94" s="2"/>
    </row>
    <row r="95" spans="5:10" x14ac:dyDescent="0.7">
      <c r="E95" s="2"/>
      <c r="F95" s="2"/>
      <c r="G95" s="2"/>
      <c r="J95" s="2"/>
    </row>
    <row r="96" spans="5:10" x14ac:dyDescent="0.7">
      <c r="E96" s="2"/>
      <c r="F96" s="2"/>
      <c r="G96" s="2"/>
      <c r="J96" s="2"/>
    </row>
    <row r="97" spans="5:10" x14ac:dyDescent="0.7">
      <c r="E97" s="2"/>
      <c r="F97" s="2"/>
      <c r="G97" s="2"/>
      <c r="J97" s="2"/>
    </row>
    <row r="98" spans="5:10" x14ac:dyDescent="0.7">
      <c r="E98" s="2"/>
      <c r="F98" s="2"/>
      <c r="G98" s="2"/>
      <c r="J98" s="2"/>
    </row>
    <row r="99" spans="5:10" x14ac:dyDescent="0.7">
      <c r="E99" s="2"/>
      <c r="F99" s="2"/>
      <c r="G99" s="2"/>
      <c r="J99" s="2"/>
    </row>
    <row r="100" spans="5:10" x14ac:dyDescent="0.7">
      <c r="E100" s="2"/>
      <c r="F100" s="2"/>
      <c r="G100" s="2"/>
      <c r="J100" s="2"/>
    </row>
    <row r="101" spans="5:10" x14ac:dyDescent="0.7">
      <c r="E101" s="2"/>
      <c r="F101" s="2"/>
      <c r="G101" s="2"/>
      <c r="J101" s="2"/>
    </row>
    <row r="102" spans="5:10" x14ac:dyDescent="0.7">
      <c r="E102" s="2"/>
      <c r="F102" s="2"/>
      <c r="G102" s="2"/>
      <c r="J102" s="2"/>
    </row>
    <row r="103" spans="5:10" x14ac:dyDescent="0.7">
      <c r="E103" s="2"/>
      <c r="F103" s="2"/>
      <c r="G103" s="2"/>
      <c r="J103" s="2"/>
    </row>
    <row r="104" spans="5:10" x14ac:dyDescent="0.7">
      <c r="E104" s="2"/>
      <c r="F104" s="2"/>
      <c r="G104" s="2"/>
      <c r="J104" s="2"/>
    </row>
    <row r="105" spans="5:10" x14ac:dyDescent="0.7">
      <c r="E105" s="2"/>
      <c r="F105" s="2"/>
      <c r="G105" s="2"/>
      <c r="J105" s="2"/>
    </row>
    <row r="106" spans="5:10" x14ac:dyDescent="0.7">
      <c r="E106" s="2"/>
      <c r="F106" s="2"/>
      <c r="G106" s="2"/>
      <c r="J106" s="2"/>
    </row>
    <row r="107" spans="5:10" x14ac:dyDescent="0.7">
      <c r="E107" s="2"/>
      <c r="F107" s="2"/>
      <c r="G107" s="2"/>
      <c r="J107" s="2"/>
    </row>
    <row r="108" spans="5:10" x14ac:dyDescent="0.7">
      <c r="E108" s="2"/>
      <c r="F108" s="2"/>
      <c r="G108" s="2"/>
      <c r="J108" s="2"/>
    </row>
    <row r="109" spans="5:10" x14ac:dyDescent="0.7">
      <c r="E109" s="2"/>
      <c r="F109" s="2"/>
      <c r="G109" s="2"/>
      <c r="J109" s="2"/>
    </row>
    <row r="110" spans="5:10" x14ac:dyDescent="0.7">
      <c r="E110" s="2"/>
      <c r="F110" s="2"/>
      <c r="G110" s="2"/>
      <c r="J110" s="2"/>
    </row>
    <row r="111" spans="5:10" x14ac:dyDescent="0.7">
      <c r="E111" s="2"/>
      <c r="F111" s="2"/>
      <c r="G111" s="2"/>
      <c r="J111" s="2"/>
    </row>
    <row r="112" spans="5:10" x14ac:dyDescent="0.7">
      <c r="E112" s="2"/>
      <c r="F112" s="2"/>
      <c r="G112" s="2"/>
      <c r="J112" s="2"/>
    </row>
    <row r="113" spans="5:10" x14ac:dyDescent="0.7">
      <c r="E113" s="2"/>
      <c r="F113" s="2"/>
      <c r="G113" s="2"/>
      <c r="J113" s="2"/>
    </row>
    <row r="114" spans="5:10" x14ac:dyDescent="0.7">
      <c r="E114" s="2"/>
      <c r="F114" s="2"/>
      <c r="G114" s="2"/>
      <c r="J114" s="2"/>
    </row>
    <row r="115" spans="5:10" x14ac:dyDescent="0.7">
      <c r="E115" s="2"/>
      <c r="F115" s="2"/>
      <c r="G115" s="2"/>
      <c r="J115" s="2"/>
    </row>
    <row r="116" spans="5:10" x14ac:dyDescent="0.7">
      <c r="E116" s="2"/>
      <c r="F116" s="2"/>
      <c r="G116" s="2"/>
      <c r="J116" s="2"/>
    </row>
    <row r="117" spans="5:10" x14ac:dyDescent="0.7">
      <c r="E117" s="2"/>
      <c r="F117" s="2"/>
      <c r="G117" s="2"/>
      <c r="J117" s="2"/>
    </row>
    <row r="118" spans="5:10" x14ac:dyDescent="0.7">
      <c r="E118" s="2"/>
      <c r="F118" s="2"/>
      <c r="G118" s="2"/>
      <c r="J118" s="2"/>
    </row>
    <row r="119" spans="5:10" x14ac:dyDescent="0.7">
      <c r="E119" s="2"/>
      <c r="F119" s="2"/>
      <c r="G119" s="2"/>
      <c r="J119" s="2"/>
    </row>
    <row r="120" spans="5:10" x14ac:dyDescent="0.7">
      <c r="E120" s="2"/>
      <c r="F120" s="2"/>
      <c r="G120" s="2"/>
      <c r="J120" s="2"/>
    </row>
    <row r="121" spans="5:10" x14ac:dyDescent="0.7">
      <c r="E121" s="2"/>
      <c r="F121" s="2"/>
      <c r="G121" s="2"/>
      <c r="J121" s="2"/>
    </row>
    <row r="122" spans="5:10" x14ac:dyDescent="0.7">
      <c r="E122" s="2"/>
      <c r="F122" s="2"/>
      <c r="G122" s="2"/>
      <c r="J122" s="2"/>
    </row>
    <row r="123" spans="5:10" x14ac:dyDescent="0.7">
      <c r="E123" s="2"/>
      <c r="F123" s="2"/>
      <c r="G123" s="2"/>
      <c r="J123" s="2"/>
    </row>
    <row r="124" spans="5:10" x14ac:dyDescent="0.7">
      <c r="E124" s="2"/>
      <c r="F124" s="2"/>
      <c r="G124" s="2"/>
      <c r="J124" s="2"/>
    </row>
    <row r="125" spans="5:10" x14ac:dyDescent="0.7">
      <c r="E125" s="2"/>
      <c r="F125" s="2"/>
      <c r="G125" s="2"/>
      <c r="J125" s="2"/>
    </row>
    <row r="126" spans="5:10" x14ac:dyDescent="0.7">
      <c r="E126" s="2"/>
      <c r="F126" s="2"/>
      <c r="G126" s="2"/>
      <c r="J126" s="2"/>
    </row>
    <row r="127" spans="5:10" x14ac:dyDescent="0.7">
      <c r="E127" s="2"/>
      <c r="F127" s="2"/>
      <c r="G127" s="2"/>
      <c r="J127" s="2"/>
    </row>
    <row r="128" spans="5:10" x14ac:dyDescent="0.7">
      <c r="E128" s="2"/>
      <c r="F128" s="2"/>
      <c r="G128" s="2"/>
      <c r="J128" s="2"/>
    </row>
    <row r="129" spans="5:10" x14ac:dyDescent="0.7">
      <c r="E129" s="2"/>
      <c r="F129" s="2"/>
      <c r="G129" s="2"/>
      <c r="J129" s="2"/>
    </row>
    <row r="130" spans="5:10" x14ac:dyDescent="0.7">
      <c r="E130" s="2"/>
      <c r="F130" s="2"/>
      <c r="G130" s="2"/>
      <c r="J130" s="2"/>
    </row>
    <row r="131" spans="5:10" x14ac:dyDescent="0.7">
      <c r="E131" s="2"/>
      <c r="F131" s="2"/>
      <c r="G131" s="2"/>
      <c r="J131" s="2"/>
    </row>
    <row r="132" spans="5:10" x14ac:dyDescent="0.7">
      <c r="E132" s="2"/>
      <c r="F132" s="2"/>
      <c r="G132" s="2"/>
      <c r="J132" s="2"/>
    </row>
    <row r="133" spans="5:10" x14ac:dyDescent="0.7">
      <c r="E133" s="2"/>
      <c r="F133" s="2"/>
      <c r="G133" s="2"/>
      <c r="J133" s="2"/>
    </row>
    <row r="134" spans="5:10" x14ac:dyDescent="0.7">
      <c r="E134" s="2"/>
      <c r="F134" s="2"/>
      <c r="G134" s="2"/>
      <c r="J134" s="2"/>
    </row>
    <row r="135" spans="5:10" x14ac:dyDescent="0.7">
      <c r="E135" s="2"/>
      <c r="F135" s="2"/>
      <c r="G135" s="2"/>
      <c r="J135" s="2"/>
    </row>
    <row r="136" spans="5:10" x14ac:dyDescent="0.7">
      <c r="E136" s="2"/>
      <c r="F136" s="2"/>
      <c r="G136" s="2"/>
      <c r="J136" s="2"/>
    </row>
    <row r="137" spans="5:10" x14ac:dyDescent="0.7">
      <c r="E137" s="2"/>
      <c r="F137" s="2"/>
      <c r="G137" s="2"/>
      <c r="J137" s="2"/>
    </row>
    <row r="138" spans="5:10" x14ac:dyDescent="0.7">
      <c r="E138" s="2"/>
      <c r="F138" s="2"/>
      <c r="G138" s="2"/>
      <c r="J138" s="2"/>
    </row>
    <row r="139" spans="5:10" x14ac:dyDescent="0.7">
      <c r="E139" s="2"/>
      <c r="F139" s="2"/>
      <c r="G139" s="2"/>
      <c r="J139" s="2"/>
    </row>
    <row r="140" spans="5:10" x14ac:dyDescent="0.7">
      <c r="E140" s="2"/>
      <c r="F140" s="2"/>
      <c r="G140" s="2"/>
      <c r="J140" s="2"/>
    </row>
    <row r="141" spans="5:10" x14ac:dyDescent="0.7">
      <c r="E141" s="2"/>
      <c r="F141" s="2"/>
      <c r="G141" s="2"/>
      <c r="J141" s="2"/>
    </row>
    <row r="142" spans="5:10" x14ac:dyDescent="0.7">
      <c r="E142" s="2"/>
      <c r="F142" s="2"/>
      <c r="G142" s="2"/>
      <c r="J142" s="2"/>
    </row>
    <row r="143" spans="5:10" x14ac:dyDescent="0.7">
      <c r="E143" s="2"/>
      <c r="F143" s="2"/>
      <c r="G143" s="2"/>
      <c r="J143" s="2"/>
    </row>
    <row r="144" spans="5:10" x14ac:dyDescent="0.7">
      <c r="E144" s="2"/>
      <c r="F144" s="2"/>
      <c r="G144" s="2"/>
      <c r="J144" s="2"/>
    </row>
    <row r="145" spans="5:10" x14ac:dyDescent="0.7">
      <c r="E145" s="2"/>
      <c r="F145" s="2"/>
      <c r="G145" s="2"/>
      <c r="J145" s="2"/>
    </row>
    <row r="146" spans="5:10" x14ac:dyDescent="0.7">
      <c r="E146" s="2"/>
      <c r="F146" s="2"/>
      <c r="G146" s="2"/>
      <c r="J146" s="2"/>
    </row>
    <row r="147" spans="5:10" x14ac:dyDescent="0.7">
      <c r="E147" s="2"/>
      <c r="F147" s="2"/>
      <c r="G147" s="2"/>
      <c r="J147" s="2"/>
    </row>
    <row r="148" spans="5:10" x14ac:dyDescent="0.7">
      <c r="E148" s="2"/>
      <c r="F148" s="2"/>
      <c r="G148" s="2"/>
      <c r="J148" s="2"/>
    </row>
    <row r="149" spans="5:10" x14ac:dyDescent="0.7">
      <c r="E149" s="2"/>
      <c r="F149" s="2"/>
      <c r="G149" s="2"/>
      <c r="J149" s="2"/>
    </row>
    <row r="150" spans="5:10" x14ac:dyDescent="0.7">
      <c r="E150" s="2"/>
      <c r="F150" s="2"/>
      <c r="G150" s="2"/>
      <c r="J150" s="2"/>
    </row>
    <row r="151" spans="5:10" x14ac:dyDescent="0.7">
      <c r="E151" s="2"/>
      <c r="F151" s="2"/>
      <c r="G151" s="2"/>
      <c r="J151" s="2"/>
    </row>
    <row r="152" spans="5:10" x14ac:dyDescent="0.7">
      <c r="E152" s="2"/>
      <c r="F152" s="2"/>
      <c r="G152" s="2"/>
      <c r="J152" s="2"/>
    </row>
    <row r="153" spans="5:10" x14ac:dyDescent="0.7">
      <c r="E153" s="2"/>
      <c r="F153" s="2"/>
      <c r="G153" s="2"/>
      <c r="J153" s="2"/>
    </row>
    <row r="154" spans="5:10" x14ac:dyDescent="0.7">
      <c r="E154" s="2"/>
      <c r="F154" s="2"/>
      <c r="G154" s="2"/>
      <c r="J154" s="2"/>
    </row>
    <row r="155" spans="5:10" x14ac:dyDescent="0.7">
      <c r="E155" s="2"/>
      <c r="F155" s="2"/>
      <c r="G155" s="2"/>
      <c r="J155" s="2"/>
    </row>
    <row r="156" spans="5:10" x14ac:dyDescent="0.7">
      <c r="E156" s="2"/>
      <c r="F156" s="2"/>
      <c r="G156" s="2"/>
      <c r="J156" s="2"/>
    </row>
    <row r="157" spans="5:10" x14ac:dyDescent="0.7">
      <c r="E157" s="2"/>
      <c r="F157" s="2"/>
      <c r="G157" s="2"/>
      <c r="J157" s="2"/>
    </row>
    <row r="158" spans="5:10" x14ac:dyDescent="0.7">
      <c r="E158" s="2"/>
      <c r="F158" s="2"/>
      <c r="G158" s="2"/>
      <c r="J158" s="2"/>
    </row>
    <row r="159" spans="5:10" x14ac:dyDescent="0.7">
      <c r="E159" s="2"/>
      <c r="F159" s="2"/>
      <c r="G159" s="2"/>
      <c r="J159" s="2"/>
    </row>
    <row r="160" spans="5:10" x14ac:dyDescent="0.7">
      <c r="E160" s="2"/>
      <c r="F160" s="2"/>
      <c r="G160" s="2"/>
      <c r="J160" s="2"/>
    </row>
    <row r="161" spans="1:10" x14ac:dyDescent="0.7">
      <c r="E161" s="2"/>
      <c r="F161" s="2"/>
      <c r="G161" s="2"/>
      <c r="J161" s="2"/>
    </row>
    <row r="162" spans="1:10" x14ac:dyDescent="0.7">
      <c r="E162" s="2"/>
      <c r="F162" s="2"/>
      <c r="G162" s="2"/>
      <c r="J162" s="2"/>
    </row>
    <row r="163" spans="1:10" x14ac:dyDescent="0.7">
      <c r="E163" s="2"/>
      <c r="F163" s="2"/>
      <c r="G163" s="2"/>
      <c r="J163" s="2"/>
    </row>
    <row r="164" spans="1:10" x14ac:dyDescent="0.7">
      <c r="E164" s="2"/>
      <c r="F164" s="2"/>
      <c r="G164" s="2"/>
      <c r="J164" s="2"/>
    </row>
    <row r="165" spans="1:10" x14ac:dyDescent="0.7">
      <c r="E165" s="2"/>
      <c r="F165" s="2"/>
      <c r="G165" s="2"/>
      <c r="J165" s="2"/>
    </row>
    <row r="166" spans="1:10" x14ac:dyDescent="0.7">
      <c r="E166" s="2"/>
      <c r="F166" s="2"/>
      <c r="G166" s="2"/>
      <c r="J166" s="2"/>
    </row>
    <row r="167" spans="1:10" x14ac:dyDescent="0.7">
      <c r="E167" s="2"/>
      <c r="F167" s="2"/>
      <c r="G167" s="2"/>
      <c r="J167" s="2"/>
    </row>
    <row r="168" spans="1:10" x14ac:dyDescent="0.7">
      <c r="E168" s="2"/>
      <c r="F168" s="2"/>
      <c r="G168" s="2"/>
      <c r="J168" s="2"/>
    </row>
    <row r="169" spans="1:10" x14ac:dyDescent="0.7">
      <c r="E169" s="2"/>
      <c r="F169" s="2"/>
      <c r="G169" s="2"/>
      <c r="J169" s="2"/>
    </row>
    <row r="170" spans="1:10" x14ac:dyDescent="0.7">
      <c r="E170" s="2"/>
      <c r="F170" s="2"/>
      <c r="G170" s="2"/>
      <c r="J170" s="2"/>
    </row>
    <row r="171" spans="1:10" x14ac:dyDescent="0.7">
      <c r="E171" s="2"/>
      <c r="F171" s="2"/>
      <c r="G171" s="2"/>
      <c r="J171" s="2"/>
    </row>
    <row r="172" spans="1:10" x14ac:dyDescent="0.7">
      <c r="E172" s="2"/>
      <c r="F172" s="2"/>
      <c r="G172" s="2"/>
      <c r="J172" s="2"/>
    </row>
    <row r="173" spans="1:10" x14ac:dyDescent="0.7">
      <c r="A173" s="1"/>
      <c r="B173" s="1"/>
      <c r="C173" s="1"/>
      <c r="D173" s="1"/>
      <c r="E173" s="3"/>
      <c r="F173" s="3"/>
      <c r="G173" s="3"/>
      <c r="H173" s="1"/>
      <c r="I173" s="1"/>
      <c r="J173" s="3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係数の検定</vt:lpstr>
      <vt:lpstr>係数の検定 (作成例)</vt:lpstr>
      <vt:lpstr>係数の検定 (標準化)</vt:lpstr>
      <vt:lpstr>多重共線性</vt:lpstr>
      <vt:lpstr>標準誤差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2024-01-14T22:34:46Z</dcterms:created>
  <dcterms:modified xsi:type="dcterms:W3CDTF">2025-12-24T07:18:05Z</dcterms:modified>
</cp:coreProperties>
</file>